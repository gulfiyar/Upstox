
<file path=[Content_Types].xml><?xml version="1.0" encoding="utf-8"?>
<Types xmlns="http://schemas.openxmlformats.org/package/2006/content-types">
  <Default Extension="bin" ContentType="application/vnd.openxmlformats-officedocument.spreadsheetml.printerSettings"/>
  <Override PartName="/xl/activeX/activeX9.xml" ContentType="application/vnd.ms-office.activeX+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8.xml" ContentType="application/vnd.ms-office.activeX+xml"/>
  <Override PartName="/xl/activeX/activeX5.xml" ContentType="application/vnd.ms-office.activeX+xml"/>
  <Override PartName="/xl/activeX/activeX6.xml" ContentType="application/vnd.ms-office.activeX+xml"/>
  <Override PartName="/xl/activeX/activeX17.xml" ContentType="application/vnd.ms-office.activeX+xml"/>
  <Override PartName="/xl/activeX/activeX18.xml" ContentType="application/vnd.ms-office.activeX+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15.xml" ContentType="application/vnd.ms-office.activeX+xml"/>
  <Override PartName="/xl/activeX/activeX16.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14.xml" ContentType="application/vnd.ms-office.activeX+xml"/>
  <Override PartName="/xl/volatileDependencies.xml" ContentType="application/vnd.openxmlformats-officedocument.spreadsheetml.volatileDependencies+xml"/>
  <Override PartName="/xl/worksheets/sheet1.xml" ContentType="application/vnd.openxmlformats-officedocument.spreadsheetml.worksheet+xml"/>
  <Default Extension="vml" ContentType="application/vnd.openxmlformats-officedocument.vmlDrawing"/>
  <Override PartName="/xl/activeX/activeX11.xml" ContentType="application/vnd.ms-office.activeX+xml"/>
  <Override PartName="/xl/activeX/activeX12.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10.xml" ContentType="application/vnd.ms-office.activeX+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05" windowWidth="14805" windowHeight="8010"/>
  </bookViews>
  <sheets>
    <sheet name="Dashboard" sheetId="2" r:id="rId1"/>
    <sheet name="Market_Watch" sheetId="11" r:id="rId2"/>
    <sheet name="Terms" sheetId="10" r:id="rId3"/>
  </sheets>
  <functionGroups/>
  <definedNames>
    <definedName name="_xlnm._FilterDatabase" localSheetId="0" hidden="1">Dashboard!$D$2:$AA$2</definedName>
  </definedNames>
  <calcPr calcId="124519"/>
</workbook>
</file>

<file path=xl/calcChain.xml><?xml version="1.0" encoding="utf-8"?>
<calcChain xmlns="http://schemas.openxmlformats.org/spreadsheetml/2006/main">
  <c r="AC201" i="11"/>
  <c r="AC200"/>
  <c r="AB201"/>
  <c r="AA201"/>
  <c r="Z201"/>
  <c r="Y201"/>
  <c r="X201"/>
  <c r="V201"/>
  <c r="T201"/>
  <c r="P201"/>
  <c r="J201"/>
  <c r="W201"/>
  <c r="U201"/>
  <c r="S201"/>
  <c r="Q201"/>
  <c r="O201"/>
  <c r="M201"/>
  <c r="K201"/>
  <c r="I201"/>
  <c r="G201"/>
  <c r="R201"/>
  <c r="N201"/>
  <c r="L201"/>
  <c r="H201"/>
  <c r="F201"/>
  <c r="E201"/>
  <c r="AA200"/>
  <c r="D201"/>
  <c r="AB200"/>
  <c r="Z200"/>
  <c r="Y200"/>
  <c r="X200"/>
  <c r="AD201"/>
  <c r="C201" l="1"/>
  <c r="AC199"/>
  <c r="W200"/>
  <c r="U200"/>
  <c r="S200"/>
  <c r="Q200"/>
  <c r="O200"/>
  <c r="M200"/>
  <c r="K200"/>
  <c r="I200"/>
  <c r="G200"/>
  <c r="P200"/>
  <c r="L200"/>
  <c r="J200"/>
  <c r="V200"/>
  <c r="T200"/>
  <c r="R200"/>
  <c r="N200"/>
  <c r="H200"/>
  <c r="F200"/>
  <c r="E200"/>
  <c r="AA199"/>
  <c r="D200"/>
  <c r="AB199"/>
  <c r="Z199"/>
  <c r="Y199"/>
  <c r="X199"/>
  <c r="AD200"/>
  <c r="C200" l="1"/>
  <c r="AC198"/>
  <c r="W199"/>
  <c r="U199"/>
  <c r="S199"/>
  <c r="Q199"/>
  <c r="O199"/>
  <c r="M199"/>
  <c r="K199"/>
  <c r="I199"/>
  <c r="G199"/>
  <c r="V199"/>
  <c r="T199"/>
  <c r="R199"/>
  <c r="P199"/>
  <c r="N199"/>
  <c r="L199"/>
  <c r="J199"/>
  <c r="H199"/>
  <c r="F199"/>
  <c r="E199"/>
  <c r="D199"/>
  <c r="AB198"/>
  <c r="AA198"/>
  <c r="Z198"/>
  <c r="Y198"/>
  <c r="X198"/>
  <c r="AD199"/>
  <c r="C199" l="1"/>
  <c r="AC197"/>
  <c r="W198"/>
  <c r="U198"/>
  <c r="S198"/>
  <c r="Q198"/>
  <c r="O198"/>
  <c r="M198"/>
  <c r="K198"/>
  <c r="I198"/>
  <c r="G198"/>
  <c r="V198"/>
  <c r="T198"/>
  <c r="R198"/>
  <c r="P198"/>
  <c r="N198"/>
  <c r="L198"/>
  <c r="J198"/>
  <c r="H198"/>
  <c r="F198"/>
  <c r="E198"/>
  <c r="AA197"/>
  <c r="D198"/>
  <c r="AB197"/>
  <c r="Z197"/>
  <c r="Y197"/>
  <c r="X197"/>
  <c r="AD198"/>
  <c r="C198" l="1"/>
  <c r="AC196"/>
  <c r="W197"/>
  <c r="U197"/>
  <c r="S197"/>
  <c r="Q197"/>
  <c r="O197"/>
  <c r="M197"/>
  <c r="K197"/>
  <c r="I197"/>
  <c r="G197"/>
  <c r="V197"/>
  <c r="T197"/>
  <c r="R197"/>
  <c r="P197"/>
  <c r="N197"/>
  <c r="L197"/>
  <c r="J197"/>
  <c r="H197"/>
  <c r="F197"/>
  <c r="E197"/>
  <c r="D197"/>
  <c r="AB196"/>
  <c r="AA196"/>
  <c r="Z196"/>
  <c r="Y196"/>
  <c r="X196"/>
  <c r="AD197"/>
  <c r="C197" l="1"/>
  <c r="AC195"/>
  <c r="W196"/>
  <c r="U196"/>
  <c r="S196"/>
  <c r="Q196"/>
  <c r="O196"/>
  <c r="M196"/>
  <c r="K196"/>
  <c r="I196"/>
  <c r="G196"/>
  <c r="T196"/>
  <c r="P196"/>
  <c r="N196"/>
  <c r="J196"/>
  <c r="H196"/>
  <c r="V196"/>
  <c r="R196"/>
  <c r="L196"/>
  <c r="F196"/>
  <c r="E196"/>
  <c r="AA195"/>
  <c r="D196"/>
  <c r="AB195"/>
  <c r="Z195"/>
  <c r="Y195"/>
  <c r="X195"/>
  <c r="AD196"/>
  <c r="C196" l="1"/>
  <c r="AC194"/>
  <c r="W195"/>
  <c r="U195"/>
  <c r="S195"/>
  <c r="Q195"/>
  <c r="O195"/>
  <c r="M195"/>
  <c r="K195"/>
  <c r="I195"/>
  <c r="G195"/>
  <c r="V195"/>
  <c r="T195"/>
  <c r="R195"/>
  <c r="P195"/>
  <c r="N195"/>
  <c r="L195"/>
  <c r="J195"/>
  <c r="H195"/>
  <c r="F195"/>
  <c r="E195"/>
  <c r="D195"/>
  <c r="AB194"/>
  <c r="AA194"/>
  <c r="Z194"/>
  <c r="Y194"/>
  <c r="X194"/>
  <c r="AD195"/>
  <c r="C195" l="1"/>
  <c r="AC193"/>
  <c r="W194"/>
  <c r="U194"/>
  <c r="S194"/>
  <c r="Q194"/>
  <c r="O194"/>
  <c r="M194"/>
  <c r="K194"/>
  <c r="I194"/>
  <c r="G194"/>
  <c r="T194"/>
  <c r="R194"/>
  <c r="N194"/>
  <c r="L194"/>
  <c r="J194"/>
  <c r="V194"/>
  <c r="P194"/>
  <c r="H194"/>
  <c r="F194"/>
  <c r="E194"/>
  <c r="D194"/>
  <c r="AB193"/>
  <c r="AA193"/>
  <c r="Z193"/>
  <c r="Y193"/>
  <c r="X193"/>
  <c r="AD194"/>
  <c r="C194" l="1"/>
  <c r="AC192"/>
  <c r="W193"/>
  <c r="U193"/>
  <c r="S193"/>
  <c r="Q193"/>
  <c r="O193"/>
  <c r="M193"/>
  <c r="K193"/>
  <c r="I193"/>
  <c r="G193"/>
  <c r="V193"/>
  <c r="T193"/>
  <c r="R193"/>
  <c r="P193"/>
  <c r="N193"/>
  <c r="L193"/>
  <c r="J193"/>
  <c r="H193"/>
  <c r="F193"/>
  <c r="E193"/>
  <c r="D193"/>
  <c r="AB192"/>
  <c r="AA192"/>
  <c r="Z192"/>
  <c r="Y192"/>
  <c r="X192"/>
  <c r="AD193"/>
  <c r="C193" l="1"/>
  <c r="AC191"/>
  <c r="W192"/>
  <c r="U192"/>
  <c r="S192"/>
  <c r="Q192"/>
  <c r="O192"/>
  <c r="M192"/>
  <c r="K192"/>
  <c r="I192"/>
  <c r="G192"/>
  <c r="V192"/>
  <c r="T192"/>
  <c r="R192"/>
  <c r="P192"/>
  <c r="N192"/>
  <c r="L192"/>
  <c r="J192"/>
  <c r="H192"/>
  <c r="F192"/>
  <c r="E192"/>
  <c r="AA191"/>
  <c r="D192"/>
  <c r="AB191"/>
  <c r="Z191"/>
  <c r="Y191"/>
  <c r="X191"/>
  <c r="AD192"/>
  <c r="C192" l="1"/>
  <c r="AC190"/>
  <c r="W191"/>
  <c r="U191"/>
  <c r="S191"/>
  <c r="Q191"/>
  <c r="O191"/>
  <c r="M191"/>
  <c r="K191"/>
  <c r="I191"/>
  <c r="G191"/>
  <c r="R191"/>
  <c r="N191"/>
  <c r="L191"/>
  <c r="H191"/>
  <c r="V191"/>
  <c r="T191"/>
  <c r="P191"/>
  <c r="J191"/>
  <c r="F191"/>
  <c r="E191"/>
  <c r="D191"/>
  <c r="AB190"/>
  <c r="AA190"/>
  <c r="Z190"/>
  <c r="Y190"/>
  <c r="X190"/>
  <c r="AD191"/>
  <c r="C191" l="1"/>
  <c r="AC189"/>
  <c r="W190"/>
  <c r="U190"/>
  <c r="S190"/>
  <c r="Q190"/>
  <c r="O190"/>
  <c r="M190"/>
  <c r="K190"/>
  <c r="I190"/>
  <c r="G190"/>
  <c r="V190"/>
  <c r="T190"/>
  <c r="R190"/>
  <c r="P190"/>
  <c r="N190"/>
  <c r="L190"/>
  <c r="J190"/>
  <c r="H190"/>
  <c r="F190"/>
  <c r="E190"/>
  <c r="AA189"/>
  <c r="AB189"/>
  <c r="D190"/>
  <c r="Z189"/>
  <c r="Y189"/>
  <c r="X189"/>
  <c r="AD190"/>
  <c r="C190" l="1"/>
  <c r="AC188"/>
  <c r="W189"/>
  <c r="U189"/>
  <c r="S189"/>
  <c r="Q189"/>
  <c r="O189"/>
  <c r="M189"/>
  <c r="K189"/>
  <c r="I189"/>
  <c r="G189"/>
  <c r="V189"/>
  <c r="T189"/>
  <c r="R189"/>
  <c r="P189"/>
  <c r="N189"/>
  <c r="L189"/>
  <c r="J189"/>
  <c r="H189"/>
  <c r="F189"/>
  <c r="E189"/>
  <c r="AA188"/>
  <c r="D189"/>
  <c r="AB188"/>
  <c r="Z188"/>
  <c r="Y188"/>
  <c r="X188"/>
  <c r="AD189"/>
  <c r="C189" l="1"/>
  <c r="AC187"/>
  <c r="W188"/>
  <c r="U188"/>
  <c r="S188"/>
  <c r="Q188"/>
  <c r="O188"/>
  <c r="M188"/>
  <c r="K188"/>
  <c r="I188"/>
  <c r="G188"/>
  <c r="V188"/>
  <c r="T188"/>
  <c r="R188"/>
  <c r="P188"/>
  <c r="N188"/>
  <c r="L188"/>
  <c r="J188"/>
  <c r="H188"/>
  <c r="F188"/>
  <c r="E188"/>
  <c r="D188"/>
  <c r="AB187"/>
  <c r="AA187"/>
  <c r="Z187"/>
  <c r="Y187"/>
  <c r="X187"/>
  <c r="AD188"/>
  <c r="C188" l="1"/>
  <c r="AC186"/>
  <c r="W187"/>
  <c r="U187"/>
  <c r="S187"/>
  <c r="Q187"/>
  <c r="O187"/>
  <c r="M187"/>
  <c r="K187"/>
  <c r="I187"/>
  <c r="G187"/>
  <c r="V187"/>
  <c r="T187"/>
  <c r="R187"/>
  <c r="P187"/>
  <c r="N187"/>
  <c r="L187"/>
  <c r="J187"/>
  <c r="H187"/>
  <c r="F187"/>
  <c r="E187"/>
  <c r="D187"/>
  <c r="AB186"/>
  <c r="AA186"/>
  <c r="Z186"/>
  <c r="Y186"/>
  <c r="X186"/>
  <c r="AD187"/>
  <c r="C187" l="1"/>
  <c r="AC185"/>
  <c r="W186"/>
  <c r="U186"/>
  <c r="S186"/>
  <c r="Q186"/>
  <c r="O186"/>
  <c r="M186"/>
  <c r="K186"/>
  <c r="I186"/>
  <c r="G186"/>
  <c r="T186"/>
  <c r="R186"/>
  <c r="P186"/>
  <c r="L186"/>
  <c r="J186"/>
  <c r="H186"/>
  <c r="V186"/>
  <c r="N186"/>
  <c r="F186"/>
  <c r="E186"/>
  <c r="D186"/>
  <c r="AB185"/>
  <c r="AA185"/>
  <c r="Z185"/>
  <c r="Y185"/>
  <c r="X185"/>
  <c r="AD186"/>
  <c r="C186" l="1"/>
  <c r="AC184"/>
  <c r="W185"/>
  <c r="U185"/>
  <c r="S185"/>
  <c r="Q185"/>
  <c r="O185"/>
  <c r="M185"/>
  <c r="K185"/>
  <c r="I185"/>
  <c r="G185"/>
  <c r="V185"/>
  <c r="T185"/>
  <c r="R185"/>
  <c r="P185"/>
  <c r="N185"/>
  <c r="L185"/>
  <c r="J185"/>
  <c r="H185"/>
  <c r="F185"/>
  <c r="E185"/>
  <c r="AA184"/>
  <c r="D185"/>
  <c r="AB184"/>
  <c r="Z184"/>
  <c r="Y184"/>
  <c r="X184"/>
  <c r="AD185"/>
  <c r="C185" l="1"/>
  <c r="AC183"/>
  <c r="W184"/>
  <c r="U184"/>
  <c r="S184"/>
  <c r="Q184"/>
  <c r="O184"/>
  <c r="M184"/>
  <c r="K184"/>
  <c r="I184"/>
  <c r="G184"/>
  <c r="V184"/>
  <c r="T184"/>
  <c r="R184"/>
  <c r="P184"/>
  <c r="N184"/>
  <c r="L184"/>
  <c r="J184"/>
  <c r="H184"/>
  <c r="F184"/>
  <c r="E184"/>
  <c r="AA183"/>
  <c r="D184"/>
  <c r="AB183"/>
  <c r="Z183"/>
  <c r="Y183"/>
  <c r="X183"/>
  <c r="AD184"/>
  <c r="C184" l="1"/>
  <c r="AC182"/>
  <c r="W183"/>
  <c r="U183"/>
  <c r="S183"/>
  <c r="Q183"/>
  <c r="O183"/>
  <c r="M183"/>
  <c r="K183"/>
  <c r="I183"/>
  <c r="G183"/>
  <c r="V183"/>
  <c r="T183"/>
  <c r="R183"/>
  <c r="P183"/>
  <c r="N183"/>
  <c r="L183"/>
  <c r="J183"/>
  <c r="H183"/>
  <c r="F183"/>
  <c r="E183"/>
  <c r="AA182"/>
  <c r="AB182"/>
  <c r="D183"/>
  <c r="Z182"/>
  <c r="Y182"/>
  <c r="X182"/>
  <c r="AD183"/>
  <c r="C183" l="1"/>
  <c r="AC181"/>
  <c r="W182"/>
  <c r="U182"/>
  <c r="S182"/>
  <c r="Q182"/>
  <c r="O182"/>
  <c r="M182"/>
  <c r="K182"/>
  <c r="I182"/>
  <c r="G182"/>
  <c r="T182"/>
  <c r="R182"/>
  <c r="P182"/>
  <c r="L182"/>
  <c r="J182"/>
  <c r="H182"/>
  <c r="V182"/>
  <c r="N182"/>
  <c r="F182"/>
  <c r="E182"/>
  <c r="AA181"/>
  <c r="D182"/>
  <c r="AB181"/>
  <c r="Z181"/>
  <c r="Y181"/>
  <c r="X181"/>
  <c r="AD182"/>
  <c r="C182" l="1"/>
  <c r="AC180"/>
  <c r="W181"/>
  <c r="U181"/>
  <c r="S181"/>
  <c r="Q181"/>
  <c r="O181"/>
  <c r="M181"/>
  <c r="K181"/>
  <c r="I181"/>
  <c r="G181"/>
  <c r="V181"/>
  <c r="T181"/>
  <c r="R181"/>
  <c r="P181"/>
  <c r="N181"/>
  <c r="L181"/>
  <c r="J181"/>
  <c r="H181"/>
  <c r="F181"/>
  <c r="E181"/>
  <c r="D181"/>
  <c r="AB180"/>
  <c r="AA180"/>
  <c r="Z180"/>
  <c r="Y180"/>
  <c r="X180"/>
  <c r="AD181"/>
  <c r="C181" l="1"/>
  <c r="AC179"/>
  <c r="W180"/>
  <c r="U180"/>
  <c r="S180"/>
  <c r="Q180"/>
  <c r="O180"/>
  <c r="M180"/>
  <c r="K180"/>
  <c r="I180"/>
  <c r="G180"/>
  <c r="V180"/>
  <c r="T180"/>
  <c r="R180"/>
  <c r="P180"/>
  <c r="N180"/>
  <c r="L180"/>
  <c r="J180"/>
  <c r="H180"/>
  <c r="F180"/>
  <c r="E180"/>
  <c r="D180"/>
  <c r="AB179"/>
  <c r="AA179"/>
  <c r="Z179"/>
  <c r="Y179"/>
  <c r="X179"/>
  <c r="AD180"/>
  <c r="C180" l="1"/>
  <c r="AC178"/>
  <c r="W179"/>
  <c r="U179"/>
  <c r="S179"/>
  <c r="Q179"/>
  <c r="O179"/>
  <c r="M179"/>
  <c r="K179"/>
  <c r="I179"/>
  <c r="G179"/>
  <c r="V179"/>
  <c r="T179"/>
  <c r="R179"/>
  <c r="P179"/>
  <c r="N179"/>
  <c r="L179"/>
  <c r="J179"/>
  <c r="H179"/>
  <c r="F179"/>
  <c r="E179"/>
  <c r="AA178"/>
  <c r="D179"/>
  <c r="AB178"/>
  <c r="Z178"/>
  <c r="Y178"/>
  <c r="X178"/>
  <c r="AD179"/>
  <c r="C179" l="1"/>
  <c r="AC177"/>
  <c r="W178"/>
  <c r="U178"/>
  <c r="S178"/>
  <c r="Q178"/>
  <c r="O178"/>
  <c r="M178"/>
  <c r="K178"/>
  <c r="I178"/>
  <c r="G178"/>
  <c r="V178"/>
  <c r="T178"/>
  <c r="R178"/>
  <c r="P178"/>
  <c r="N178"/>
  <c r="L178"/>
  <c r="J178"/>
  <c r="H178"/>
  <c r="F178"/>
  <c r="E178"/>
  <c r="AA177"/>
  <c r="D178"/>
  <c r="AB177"/>
  <c r="Z177"/>
  <c r="Y177"/>
  <c r="X177"/>
  <c r="AD178"/>
  <c r="C178" l="1"/>
  <c r="AC176"/>
  <c r="W177"/>
  <c r="U177"/>
  <c r="S177"/>
  <c r="Q177"/>
  <c r="O177"/>
  <c r="M177"/>
  <c r="K177"/>
  <c r="I177"/>
  <c r="G177"/>
  <c r="P177"/>
  <c r="L177"/>
  <c r="J177"/>
  <c r="V177"/>
  <c r="T177"/>
  <c r="R177"/>
  <c r="N177"/>
  <c r="H177"/>
  <c r="F177"/>
  <c r="E177"/>
  <c r="AA176"/>
  <c r="D177"/>
  <c r="AB176"/>
  <c r="Z176"/>
  <c r="Y176"/>
  <c r="X176"/>
  <c r="AD177"/>
  <c r="C177" l="1"/>
  <c r="AC175"/>
  <c r="W176"/>
  <c r="U176"/>
  <c r="S176"/>
  <c r="Q176"/>
  <c r="O176"/>
  <c r="M176"/>
  <c r="K176"/>
  <c r="I176"/>
  <c r="G176"/>
  <c r="V176"/>
  <c r="T176"/>
  <c r="R176"/>
  <c r="P176"/>
  <c r="N176"/>
  <c r="L176"/>
  <c r="J176"/>
  <c r="H176"/>
  <c r="F176"/>
  <c r="E176"/>
  <c r="AA175"/>
  <c r="D176"/>
  <c r="AB175"/>
  <c r="Z175"/>
  <c r="Y175"/>
  <c r="X175"/>
  <c r="AD176"/>
  <c r="C176" l="1"/>
  <c r="AC174"/>
  <c r="W175"/>
  <c r="U175"/>
  <c r="S175"/>
  <c r="Q175"/>
  <c r="O175"/>
  <c r="M175"/>
  <c r="K175"/>
  <c r="I175"/>
  <c r="G175"/>
  <c r="V175"/>
  <c r="T175"/>
  <c r="R175"/>
  <c r="P175"/>
  <c r="N175"/>
  <c r="L175"/>
  <c r="J175"/>
  <c r="H175"/>
  <c r="F175"/>
  <c r="E175"/>
  <c r="AA174"/>
  <c r="D175"/>
  <c r="AB174"/>
  <c r="Z174"/>
  <c r="Y174"/>
  <c r="X174"/>
  <c r="AD175"/>
  <c r="C175" l="1"/>
  <c r="AC173"/>
  <c r="W174"/>
  <c r="U174"/>
  <c r="S174"/>
  <c r="Q174"/>
  <c r="O174"/>
  <c r="M174"/>
  <c r="K174"/>
  <c r="I174"/>
  <c r="G174"/>
  <c r="V174"/>
  <c r="T174"/>
  <c r="R174"/>
  <c r="P174"/>
  <c r="N174"/>
  <c r="L174"/>
  <c r="J174"/>
  <c r="H174"/>
  <c r="F174"/>
  <c r="E174"/>
  <c r="AA173"/>
  <c r="D174"/>
  <c r="AB173"/>
  <c r="Z173"/>
  <c r="Y173"/>
  <c r="X173"/>
  <c r="AD174"/>
  <c r="C174" l="1"/>
  <c r="AC172"/>
  <c r="W173"/>
  <c r="U173"/>
  <c r="S173"/>
  <c r="Q173"/>
  <c r="O173"/>
  <c r="M173"/>
  <c r="K173"/>
  <c r="I173"/>
  <c r="G173"/>
  <c r="P173"/>
  <c r="N173"/>
  <c r="J173"/>
  <c r="H173"/>
  <c r="V173"/>
  <c r="T173"/>
  <c r="R173"/>
  <c r="L173"/>
  <c r="F173"/>
  <c r="E173"/>
  <c r="AA172"/>
  <c r="D173"/>
  <c r="AB172"/>
  <c r="Z172"/>
  <c r="Y172"/>
  <c r="X172"/>
  <c r="AD173"/>
  <c r="C173" l="1"/>
  <c r="AC171"/>
  <c r="W172"/>
  <c r="U172"/>
  <c r="S172"/>
  <c r="Q172"/>
  <c r="O172"/>
  <c r="M172"/>
  <c r="K172"/>
  <c r="I172"/>
  <c r="G172"/>
  <c r="V172"/>
  <c r="T172"/>
  <c r="R172"/>
  <c r="P172"/>
  <c r="N172"/>
  <c r="L172"/>
  <c r="J172"/>
  <c r="H172"/>
  <c r="F172"/>
  <c r="E172"/>
  <c r="AA171"/>
  <c r="D172"/>
  <c r="AB171"/>
  <c r="Z171"/>
  <c r="Y171"/>
  <c r="X171"/>
  <c r="AD172"/>
  <c r="C172" l="1"/>
  <c r="AC170"/>
  <c r="W171"/>
  <c r="U171"/>
  <c r="S171"/>
  <c r="Q171"/>
  <c r="O171"/>
  <c r="M171"/>
  <c r="K171"/>
  <c r="I171"/>
  <c r="G171"/>
  <c r="V171"/>
  <c r="T171"/>
  <c r="R171"/>
  <c r="P171"/>
  <c r="N171"/>
  <c r="L171"/>
  <c r="J171"/>
  <c r="H171"/>
  <c r="F171"/>
  <c r="E171"/>
  <c r="D171"/>
  <c r="AB170"/>
  <c r="AA170"/>
  <c r="Z170"/>
  <c r="Y170"/>
  <c r="X170"/>
  <c r="AD171"/>
  <c r="C171" l="1"/>
  <c r="AC169"/>
  <c r="W170"/>
  <c r="U170"/>
  <c r="S170"/>
  <c r="Q170"/>
  <c r="O170"/>
  <c r="M170"/>
  <c r="K170"/>
  <c r="I170"/>
  <c r="G170"/>
  <c r="V170"/>
  <c r="T170"/>
  <c r="R170"/>
  <c r="P170"/>
  <c r="N170"/>
  <c r="L170"/>
  <c r="J170"/>
  <c r="H170"/>
  <c r="F170"/>
  <c r="E170"/>
  <c r="D170"/>
  <c r="AB169"/>
  <c r="AA169"/>
  <c r="Z169"/>
  <c r="Y169"/>
  <c r="X169"/>
  <c r="AD170"/>
  <c r="C170" l="1"/>
  <c r="AC168"/>
  <c r="W169"/>
  <c r="U169"/>
  <c r="S169"/>
  <c r="Q169"/>
  <c r="O169"/>
  <c r="M169"/>
  <c r="K169"/>
  <c r="I169"/>
  <c r="G169"/>
  <c r="V169"/>
  <c r="T169"/>
  <c r="R169"/>
  <c r="P169"/>
  <c r="N169"/>
  <c r="L169"/>
  <c r="J169"/>
  <c r="H169"/>
  <c r="F169"/>
  <c r="E169"/>
  <c r="AA168"/>
  <c r="D169"/>
  <c r="AB168"/>
  <c r="Z168"/>
  <c r="Y168"/>
  <c r="X168"/>
  <c r="AD169"/>
  <c r="C169" l="1"/>
  <c r="AC167"/>
  <c r="W168"/>
  <c r="U168"/>
  <c r="S168"/>
  <c r="Q168"/>
  <c r="O168"/>
  <c r="M168"/>
  <c r="K168"/>
  <c r="I168"/>
  <c r="G168"/>
  <c r="R168"/>
  <c r="N168"/>
  <c r="L168"/>
  <c r="H168"/>
  <c r="V168"/>
  <c r="T168"/>
  <c r="P168"/>
  <c r="J168"/>
  <c r="F168"/>
  <c r="E168"/>
  <c r="D168"/>
  <c r="AB167"/>
  <c r="AA167"/>
  <c r="Z167"/>
  <c r="Y167"/>
  <c r="X167"/>
  <c r="AD168"/>
  <c r="C168" l="1"/>
  <c r="AC166"/>
  <c r="W167"/>
  <c r="U167"/>
  <c r="S167"/>
  <c r="Q167"/>
  <c r="O167"/>
  <c r="M167"/>
  <c r="K167"/>
  <c r="I167"/>
  <c r="G167"/>
  <c r="V167"/>
  <c r="T167"/>
  <c r="R167"/>
  <c r="P167"/>
  <c r="N167"/>
  <c r="L167"/>
  <c r="J167"/>
  <c r="H167"/>
  <c r="F167"/>
  <c r="E167"/>
  <c r="AA166"/>
  <c r="AB166"/>
  <c r="D167"/>
  <c r="Z166"/>
  <c r="Y166"/>
  <c r="X166"/>
  <c r="AD167"/>
  <c r="C167" l="1"/>
  <c r="AC165"/>
  <c r="W166"/>
  <c r="U166"/>
  <c r="S166"/>
  <c r="Q166"/>
  <c r="O166"/>
  <c r="M166"/>
  <c r="K166"/>
  <c r="I166"/>
  <c r="G166"/>
  <c r="V166"/>
  <c r="T166"/>
  <c r="R166"/>
  <c r="P166"/>
  <c r="N166"/>
  <c r="L166"/>
  <c r="J166"/>
  <c r="H166"/>
  <c r="F166"/>
  <c r="E166"/>
  <c r="AA165"/>
  <c r="AB165"/>
  <c r="D166"/>
  <c r="Z165"/>
  <c r="Y165"/>
  <c r="X165"/>
  <c r="AD166"/>
  <c r="C166" l="1"/>
  <c r="AC164"/>
  <c r="W165"/>
  <c r="U165"/>
  <c r="S165"/>
  <c r="Q165"/>
  <c r="O165"/>
  <c r="M165"/>
  <c r="K165"/>
  <c r="I165"/>
  <c r="G165"/>
  <c r="V165"/>
  <c r="T165"/>
  <c r="R165"/>
  <c r="P165"/>
  <c r="N165"/>
  <c r="L165"/>
  <c r="J165"/>
  <c r="H165"/>
  <c r="F165"/>
  <c r="E165"/>
  <c r="AA164"/>
  <c r="D165"/>
  <c r="AB164"/>
  <c r="Z164"/>
  <c r="Y164"/>
  <c r="X164"/>
  <c r="AD165"/>
  <c r="C165" l="1"/>
  <c r="AC163"/>
  <c r="W164"/>
  <c r="U164"/>
  <c r="S164"/>
  <c r="Q164"/>
  <c r="O164"/>
  <c r="M164"/>
  <c r="K164"/>
  <c r="I164"/>
  <c r="G164"/>
  <c r="V164"/>
  <c r="T164"/>
  <c r="R164"/>
  <c r="P164"/>
  <c r="N164"/>
  <c r="L164"/>
  <c r="J164"/>
  <c r="H164"/>
  <c r="F164"/>
  <c r="E164"/>
  <c r="D164"/>
  <c r="AB163"/>
  <c r="AA163"/>
  <c r="Z163"/>
  <c r="Y163"/>
  <c r="X163"/>
  <c r="AD164"/>
  <c r="C164" l="1"/>
  <c r="AC162"/>
  <c r="W163"/>
  <c r="U163"/>
  <c r="S163"/>
  <c r="Q163"/>
  <c r="O163"/>
  <c r="M163"/>
  <c r="K163"/>
  <c r="I163"/>
  <c r="G163"/>
  <c r="V163"/>
  <c r="T163"/>
  <c r="R163"/>
  <c r="P163"/>
  <c r="N163"/>
  <c r="L163"/>
  <c r="J163"/>
  <c r="H163"/>
  <c r="F163"/>
  <c r="E163"/>
  <c r="AA162"/>
  <c r="D163"/>
  <c r="AB162"/>
  <c r="Z162"/>
  <c r="Y162"/>
  <c r="X162"/>
  <c r="AD163"/>
  <c r="C163" l="1"/>
  <c r="AC161"/>
  <c r="W162"/>
  <c r="U162"/>
  <c r="S162"/>
  <c r="Q162"/>
  <c r="O162"/>
  <c r="M162"/>
  <c r="K162"/>
  <c r="I162"/>
  <c r="G162"/>
  <c r="J162"/>
  <c r="V162"/>
  <c r="T162"/>
  <c r="R162"/>
  <c r="P162"/>
  <c r="N162"/>
  <c r="L162"/>
  <c r="H162"/>
  <c r="F162"/>
  <c r="E162"/>
  <c r="D162"/>
  <c r="AB161"/>
  <c r="AA161"/>
  <c r="Z161"/>
  <c r="Y161"/>
  <c r="X161"/>
  <c r="AD162"/>
  <c r="C162" l="1"/>
  <c r="AC160"/>
  <c r="W161"/>
  <c r="U161"/>
  <c r="S161"/>
  <c r="Q161"/>
  <c r="O161"/>
  <c r="M161"/>
  <c r="K161"/>
  <c r="I161"/>
  <c r="G161"/>
  <c r="V161"/>
  <c r="T161"/>
  <c r="R161"/>
  <c r="P161"/>
  <c r="N161"/>
  <c r="L161"/>
  <c r="J161"/>
  <c r="H161"/>
  <c r="F161"/>
  <c r="E161"/>
  <c r="AA160"/>
  <c r="D161"/>
  <c r="AB160"/>
  <c r="Z160"/>
  <c r="Y160"/>
  <c r="X160"/>
  <c r="AD161"/>
  <c r="C161" l="1"/>
  <c r="AC159"/>
  <c r="W160"/>
  <c r="U160"/>
  <c r="S160"/>
  <c r="Q160"/>
  <c r="O160"/>
  <c r="M160"/>
  <c r="K160"/>
  <c r="I160"/>
  <c r="G160"/>
  <c r="V160"/>
  <c r="T160"/>
  <c r="R160"/>
  <c r="P160"/>
  <c r="N160"/>
  <c r="L160"/>
  <c r="J160"/>
  <c r="H160"/>
  <c r="F160"/>
  <c r="E160"/>
  <c r="AA159"/>
  <c r="D160"/>
  <c r="AB159"/>
  <c r="Z159"/>
  <c r="Y159"/>
  <c r="X159"/>
  <c r="AD160"/>
  <c r="C160" l="1"/>
  <c r="AC158"/>
  <c r="W159"/>
  <c r="U159"/>
  <c r="S159"/>
  <c r="Q159"/>
  <c r="O159"/>
  <c r="M159"/>
  <c r="K159"/>
  <c r="I159"/>
  <c r="G159"/>
  <c r="T159"/>
  <c r="R159"/>
  <c r="N159"/>
  <c r="L159"/>
  <c r="J159"/>
  <c r="H159"/>
  <c r="V159"/>
  <c r="P159"/>
  <c r="F159"/>
  <c r="E159"/>
  <c r="AA158"/>
  <c r="D159"/>
  <c r="AB158"/>
  <c r="Z158"/>
  <c r="Y158"/>
  <c r="X158"/>
  <c r="AD159"/>
  <c r="C159" l="1"/>
  <c r="AC157"/>
  <c r="W158"/>
  <c r="U158"/>
  <c r="S158"/>
  <c r="Q158"/>
  <c r="O158"/>
  <c r="M158"/>
  <c r="K158"/>
  <c r="I158"/>
  <c r="G158"/>
  <c r="T158"/>
  <c r="R158"/>
  <c r="N158"/>
  <c r="L158"/>
  <c r="J158"/>
  <c r="V158"/>
  <c r="P158"/>
  <c r="H158"/>
  <c r="F158"/>
  <c r="E158"/>
  <c r="D158"/>
  <c r="AB157"/>
  <c r="AA157"/>
  <c r="Z157"/>
  <c r="Y157"/>
  <c r="X157"/>
  <c r="AD158"/>
  <c r="C158" l="1"/>
  <c r="AC156"/>
  <c r="W157"/>
  <c r="U157"/>
  <c r="S157"/>
  <c r="Q157"/>
  <c r="O157"/>
  <c r="M157"/>
  <c r="K157"/>
  <c r="I157"/>
  <c r="G157"/>
  <c r="V157"/>
  <c r="R157"/>
  <c r="P157"/>
  <c r="N157"/>
  <c r="L157"/>
  <c r="J157"/>
  <c r="T157"/>
  <c r="H157"/>
  <c r="F157"/>
  <c r="E157"/>
  <c r="D157"/>
  <c r="AB156"/>
  <c r="AA156"/>
  <c r="Z156"/>
  <c r="Y156"/>
  <c r="X156"/>
  <c r="AD157"/>
  <c r="C157" l="1"/>
  <c r="AC155"/>
  <c r="W156"/>
  <c r="U156"/>
  <c r="S156"/>
  <c r="Q156"/>
  <c r="O156"/>
  <c r="M156"/>
  <c r="K156"/>
  <c r="I156"/>
  <c r="G156"/>
  <c r="V156"/>
  <c r="T156"/>
  <c r="R156"/>
  <c r="P156"/>
  <c r="N156"/>
  <c r="J156"/>
  <c r="H156"/>
  <c r="L156"/>
  <c r="F156"/>
  <c r="E156"/>
  <c r="AA155"/>
  <c r="D156"/>
  <c r="AB155"/>
  <c r="Z155"/>
  <c r="Y155"/>
  <c r="X155"/>
  <c r="AD156"/>
  <c r="C156" l="1"/>
  <c r="AC154"/>
  <c r="W155"/>
  <c r="U155"/>
  <c r="S155"/>
  <c r="Q155"/>
  <c r="O155"/>
  <c r="M155"/>
  <c r="K155"/>
  <c r="I155"/>
  <c r="G155"/>
  <c r="V155"/>
  <c r="T155"/>
  <c r="R155"/>
  <c r="P155"/>
  <c r="N155"/>
  <c r="L155"/>
  <c r="J155"/>
  <c r="H155"/>
  <c r="F155"/>
  <c r="E155"/>
  <c r="AA154"/>
  <c r="D155"/>
  <c r="AB154"/>
  <c r="Z154"/>
  <c r="Y154"/>
  <c r="X154"/>
  <c r="AD155"/>
  <c r="C155" l="1"/>
  <c r="AC153"/>
  <c r="W154"/>
  <c r="U154"/>
  <c r="S154"/>
  <c r="Q154"/>
  <c r="O154"/>
  <c r="M154"/>
  <c r="K154"/>
  <c r="I154"/>
  <c r="G154"/>
  <c r="V154"/>
  <c r="T154"/>
  <c r="R154"/>
  <c r="P154"/>
  <c r="N154"/>
  <c r="L154"/>
  <c r="J154"/>
  <c r="H154"/>
  <c r="F154"/>
  <c r="E154"/>
  <c r="AA153"/>
  <c r="AB153"/>
  <c r="D154"/>
  <c r="Z153"/>
  <c r="Y153"/>
  <c r="X153"/>
  <c r="AD154"/>
  <c r="C154" l="1"/>
  <c r="AC152"/>
  <c r="W153"/>
  <c r="U153"/>
  <c r="S153"/>
  <c r="Q153"/>
  <c r="O153"/>
  <c r="M153"/>
  <c r="K153"/>
  <c r="I153"/>
  <c r="G153"/>
  <c r="N153"/>
  <c r="L153"/>
  <c r="J153"/>
  <c r="V153"/>
  <c r="T153"/>
  <c r="R153"/>
  <c r="P153"/>
  <c r="H153"/>
  <c r="F153"/>
  <c r="E153"/>
  <c r="D153"/>
  <c r="AB152"/>
  <c r="AA152"/>
  <c r="Z152"/>
  <c r="Y152"/>
  <c r="X152"/>
  <c r="AD153"/>
  <c r="C153" l="1"/>
  <c r="AC151"/>
  <c r="W152"/>
  <c r="U152"/>
  <c r="S152"/>
  <c r="Q152"/>
  <c r="O152"/>
  <c r="M152"/>
  <c r="K152"/>
  <c r="I152"/>
  <c r="G152"/>
  <c r="V152"/>
  <c r="T152"/>
  <c r="R152"/>
  <c r="P152"/>
  <c r="N152"/>
  <c r="L152"/>
  <c r="J152"/>
  <c r="H152"/>
  <c r="F152"/>
  <c r="E152"/>
  <c r="AA151"/>
  <c r="AB151"/>
  <c r="D152"/>
  <c r="Z151"/>
  <c r="Y151"/>
  <c r="X151"/>
  <c r="AD152"/>
  <c r="C152" l="1"/>
  <c r="AC150"/>
  <c r="W151"/>
  <c r="U151"/>
  <c r="S151"/>
  <c r="O151"/>
  <c r="G151"/>
  <c r="V151"/>
  <c r="T151"/>
  <c r="R151"/>
  <c r="P151"/>
  <c r="N151"/>
  <c r="L151"/>
  <c r="J151"/>
  <c r="H151"/>
  <c r="Q151"/>
  <c r="M151"/>
  <c r="K151"/>
  <c r="I151"/>
  <c r="F151"/>
  <c r="E151"/>
  <c r="D151"/>
  <c r="AB150"/>
  <c r="AA150"/>
  <c r="Z150"/>
  <c r="Y150"/>
  <c r="X150"/>
  <c r="AD151"/>
  <c r="C151" l="1"/>
  <c r="AC149"/>
  <c r="W150"/>
  <c r="U150"/>
  <c r="S150"/>
  <c r="Q150"/>
  <c r="O150"/>
  <c r="M150"/>
  <c r="K150"/>
  <c r="I150"/>
  <c r="G150"/>
  <c r="V150"/>
  <c r="T150"/>
  <c r="R150"/>
  <c r="P150"/>
  <c r="N150"/>
  <c r="L150"/>
  <c r="J150"/>
  <c r="H150"/>
  <c r="F150"/>
  <c r="E150"/>
  <c r="D150"/>
  <c r="AB149"/>
  <c r="AA149"/>
  <c r="Z149"/>
  <c r="Y149"/>
  <c r="X149"/>
  <c r="AD150"/>
  <c r="C150" l="1"/>
  <c r="AC148"/>
  <c r="W149"/>
  <c r="U149"/>
  <c r="S149"/>
  <c r="Q149"/>
  <c r="O149"/>
  <c r="M149"/>
  <c r="K149"/>
  <c r="I149"/>
  <c r="G149"/>
  <c r="V149"/>
  <c r="T149"/>
  <c r="R149"/>
  <c r="P149"/>
  <c r="N149"/>
  <c r="L149"/>
  <c r="J149"/>
  <c r="H149"/>
  <c r="F149"/>
  <c r="E149"/>
  <c r="AA148"/>
  <c r="D149"/>
  <c r="AB148"/>
  <c r="Z148"/>
  <c r="Y148"/>
  <c r="X148"/>
  <c r="AD149"/>
  <c r="C149" l="1"/>
  <c r="AC147"/>
  <c r="W148"/>
  <c r="U148"/>
  <c r="S148"/>
  <c r="Q148"/>
  <c r="O148"/>
  <c r="M148"/>
  <c r="K148"/>
  <c r="I148"/>
  <c r="G148"/>
  <c r="V148"/>
  <c r="T148"/>
  <c r="R148"/>
  <c r="P148"/>
  <c r="N148"/>
  <c r="L148"/>
  <c r="J148"/>
  <c r="H148"/>
  <c r="F148"/>
  <c r="E148"/>
  <c r="D148"/>
  <c r="AB147"/>
  <c r="AA147"/>
  <c r="Z147"/>
  <c r="Y147"/>
  <c r="X147"/>
  <c r="AD148"/>
  <c r="C148" l="1"/>
  <c r="AC146"/>
  <c r="W147"/>
  <c r="U147"/>
  <c r="S147"/>
  <c r="Q147"/>
  <c r="O147"/>
  <c r="M147"/>
  <c r="K147"/>
  <c r="I147"/>
  <c r="G147"/>
  <c r="V147"/>
  <c r="T147"/>
  <c r="R147"/>
  <c r="P147"/>
  <c r="N147"/>
  <c r="L147"/>
  <c r="J147"/>
  <c r="H147"/>
  <c r="F147"/>
  <c r="E147"/>
  <c r="D147"/>
  <c r="AB146"/>
  <c r="AA146"/>
  <c r="Z146"/>
  <c r="Y146"/>
  <c r="X146"/>
  <c r="AD147"/>
  <c r="C147" l="1"/>
  <c r="AC145"/>
  <c r="W146"/>
  <c r="U146"/>
  <c r="S146"/>
  <c r="Q146"/>
  <c r="O146"/>
  <c r="M146"/>
  <c r="K146"/>
  <c r="I146"/>
  <c r="G146"/>
  <c r="J146"/>
  <c r="H146"/>
  <c r="V146"/>
  <c r="T146"/>
  <c r="R146"/>
  <c r="P146"/>
  <c r="N146"/>
  <c r="L146"/>
  <c r="F146"/>
  <c r="E146"/>
  <c r="D146"/>
  <c r="AB145"/>
  <c r="AA145"/>
  <c r="Z145"/>
  <c r="Y145"/>
  <c r="X145"/>
  <c r="AD146"/>
  <c r="C146" l="1"/>
  <c r="AC144"/>
  <c r="W145"/>
  <c r="U145"/>
  <c r="S145"/>
  <c r="Q145"/>
  <c r="O145"/>
  <c r="M145"/>
  <c r="K145"/>
  <c r="I145"/>
  <c r="G145"/>
  <c r="V145"/>
  <c r="T145"/>
  <c r="R145"/>
  <c r="P145"/>
  <c r="N145"/>
  <c r="L145"/>
  <c r="J145"/>
  <c r="H145"/>
  <c r="F145"/>
  <c r="E145"/>
  <c r="AA144"/>
  <c r="D145"/>
  <c r="AB144"/>
  <c r="Z144"/>
  <c r="Y144"/>
  <c r="X144"/>
  <c r="AD145"/>
  <c r="C145" l="1"/>
  <c r="AC143"/>
  <c r="W144"/>
  <c r="U144"/>
  <c r="S144"/>
  <c r="Q144"/>
  <c r="O144"/>
  <c r="M144"/>
  <c r="K144"/>
  <c r="I144"/>
  <c r="G144"/>
  <c r="T144"/>
  <c r="P144"/>
  <c r="N144"/>
  <c r="J144"/>
  <c r="H144"/>
  <c r="V144"/>
  <c r="R144"/>
  <c r="L144"/>
  <c r="F144"/>
  <c r="E144"/>
  <c r="AA143"/>
  <c r="D144"/>
  <c r="AB143"/>
  <c r="Z143"/>
  <c r="Y143"/>
  <c r="X143"/>
  <c r="AD144"/>
  <c r="C144" l="1"/>
  <c r="AC142"/>
  <c r="W143"/>
  <c r="U143"/>
  <c r="S143"/>
  <c r="Q143"/>
  <c r="O143"/>
  <c r="M143"/>
  <c r="K143"/>
  <c r="I143"/>
  <c r="G143"/>
  <c r="V143"/>
  <c r="T143"/>
  <c r="R143"/>
  <c r="P143"/>
  <c r="N143"/>
  <c r="L143"/>
  <c r="J143"/>
  <c r="H143"/>
  <c r="F143"/>
  <c r="E143"/>
  <c r="AA142"/>
  <c r="D143"/>
  <c r="AB142"/>
  <c r="Z142"/>
  <c r="Y142"/>
  <c r="X142"/>
  <c r="AD143"/>
  <c r="C143" l="1"/>
  <c r="AC141"/>
  <c r="W142"/>
  <c r="U142"/>
  <c r="S142"/>
  <c r="Q142"/>
  <c r="O142"/>
  <c r="M142"/>
  <c r="K142"/>
  <c r="I142"/>
  <c r="G142"/>
  <c r="V142"/>
  <c r="T142"/>
  <c r="R142"/>
  <c r="P142"/>
  <c r="N142"/>
  <c r="L142"/>
  <c r="J142"/>
  <c r="H142"/>
  <c r="F142"/>
  <c r="E142"/>
  <c r="AA141"/>
  <c r="D142"/>
  <c r="AB141"/>
  <c r="Z141"/>
  <c r="Y141"/>
  <c r="X141"/>
  <c r="AD142"/>
  <c r="C142" l="1"/>
  <c r="AC140"/>
  <c r="W141"/>
  <c r="U141"/>
  <c r="S141"/>
  <c r="Q141"/>
  <c r="O141"/>
  <c r="M141"/>
  <c r="K141"/>
  <c r="I141"/>
  <c r="G141"/>
  <c r="V141"/>
  <c r="T141"/>
  <c r="R141"/>
  <c r="P141"/>
  <c r="N141"/>
  <c r="L141"/>
  <c r="J141"/>
  <c r="H141"/>
  <c r="F141"/>
  <c r="E141"/>
  <c r="D141"/>
  <c r="AB140"/>
  <c r="AA140"/>
  <c r="Z140"/>
  <c r="Y140"/>
  <c r="X140"/>
  <c r="AD141"/>
  <c r="C141" l="1"/>
  <c r="AC139"/>
  <c r="W140"/>
  <c r="U140"/>
  <c r="S140"/>
  <c r="Q140"/>
  <c r="O140"/>
  <c r="M140"/>
  <c r="K140"/>
  <c r="I140"/>
  <c r="G140"/>
  <c r="V140"/>
  <c r="T140"/>
  <c r="R140"/>
  <c r="P140"/>
  <c r="N140"/>
  <c r="L140"/>
  <c r="J140"/>
  <c r="H140"/>
  <c r="F140"/>
  <c r="E140"/>
  <c r="AA139"/>
  <c r="D140"/>
  <c r="AB139"/>
  <c r="Z139"/>
  <c r="Y139"/>
  <c r="X139"/>
  <c r="AD140"/>
  <c r="C140" l="1"/>
  <c r="AC138"/>
  <c r="W139"/>
  <c r="U139"/>
  <c r="S139"/>
  <c r="Q139"/>
  <c r="O139"/>
  <c r="M139"/>
  <c r="K139"/>
  <c r="I139"/>
  <c r="G139"/>
  <c r="V139"/>
  <c r="T139"/>
  <c r="R139"/>
  <c r="P139"/>
  <c r="N139"/>
  <c r="L139"/>
  <c r="J139"/>
  <c r="H139"/>
  <c r="F139"/>
  <c r="E139"/>
  <c r="AA138"/>
  <c r="D139"/>
  <c r="AB138"/>
  <c r="Z138"/>
  <c r="Y138"/>
  <c r="X138"/>
  <c r="AD139"/>
  <c r="C139" l="1"/>
  <c r="AC137"/>
  <c r="W138"/>
  <c r="U138"/>
  <c r="S138"/>
  <c r="Q138"/>
  <c r="O138"/>
  <c r="M138"/>
  <c r="K138"/>
  <c r="I138"/>
  <c r="G138"/>
  <c r="R138"/>
  <c r="N138"/>
  <c r="L138"/>
  <c r="H138"/>
  <c r="V138"/>
  <c r="T138"/>
  <c r="P138"/>
  <c r="J138"/>
  <c r="F138"/>
  <c r="E138"/>
  <c r="AA137"/>
  <c r="D138"/>
  <c r="AB137"/>
  <c r="Z137"/>
  <c r="Y137"/>
  <c r="X137"/>
  <c r="AD138"/>
  <c r="C138" l="1"/>
  <c r="AC136"/>
  <c r="W137"/>
  <c r="U137"/>
  <c r="S137"/>
  <c r="Q137"/>
  <c r="O137"/>
  <c r="M137"/>
  <c r="K137"/>
  <c r="I137"/>
  <c r="G137"/>
  <c r="V137"/>
  <c r="T137"/>
  <c r="R137"/>
  <c r="P137"/>
  <c r="N137"/>
  <c r="L137"/>
  <c r="J137"/>
  <c r="H137"/>
  <c r="F137"/>
  <c r="E137"/>
  <c r="D137"/>
  <c r="AB136"/>
  <c r="AA136"/>
  <c r="Z136"/>
  <c r="Y136"/>
  <c r="X136"/>
  <c r="AD137"/>
  <c r="C137" l="1"/>
  <c r="AC135"/>
  <c r="W136"/>
  <c r="U136"/>
  <c r="S136"/>
  <c r="Q136"/>
  <c r="O136"/>
  <c r="M136"/>
  <c r="K136"/>
  <c r="I136"/>
  <c r="G136"/>
  <c r="L136"/>
  <c r="H136"/>
  <c r="V136"/>
  <c r="T136"/>
  <c r="R136"/>
  <c r="P136"/>
  <c r="N136"/>
  <c r="J136"/>
  <c r="F136"/>
  <c r="E136"/>
  <c r="D136"/>
  <c r="AB135"/>
  <c r="AA135"/>
  <c r="Z135"/>
  <c r="Y135"/>
  <c r="X135"/>
  <c r="AD136"/>
  <c r="C136" l="1"/>
  <c r="AC134"/>
  <c r="W135"/>
  <c r="U135"/>
  <c r="S135"/>
  <c r="Q135"/>
  <c r="O135"/>
  <c r="M135"/>
  <c r="K135"/>
  <c r="I135"/>
  <c r="G135"/>
  <c r="T135"/>
  <c r="P135"/>
  <c r="N135"/>
  <c r="J135"/>
  <c r="H135"/>
  <c r="V135"/>
  <c r="R135"/>
  <c r="L135"/>
  <c r="F135"/>
  <c r="E135"/>
  <c r="AA134"/>
  <c r="D135"/>
  <c r="AB134"/>
  <c r="Z134"/>
  <c r="Y134"/>
  <c r="X134"/>
  <c r="AD135"/>
  <c r="C135" l="1"/>
  <c r="AC133"/>
  <c r="W134"/>
  <c r="U134"/>
  <c r="S134"/>
  <c r="Q134"/>
  <c r="O134"/>
  <c r="M134"/>
  <c r="K134"/>
  <c r="I134"/>
  <c r="G134"/>
  <c r="V134"/>
  <c r="T134"/>
  <c r="R134"/>
  <c r="P134"/>
  <c r="N134"/>
  <c r="L134"/>
  <c r="J134"/>
  <c r="H134"/>
  <c r="F134"/>
  <c r="E134"/>
  <c r="D134"/>
  <c r="AB133"/>
  <c r="AA133"/>
  <c r="Z133"/>
  <c r="Y133"/>
  <c r="X133"/>
  <c r="AD134"/>
  <c r="C134" l="1"/>
  <c r="AC132"/>
  <c r="W133"/>
  <c r="U133"/>
  <c r="S133"/>
  <c r="Q133"/>
  <c r="O133"/>
  <c r="M133"/>
  <c r="K133"/>
  <c r="I133"/>
  <c r="G133"/>
  <c r="V133"/>
  <c r="T133"/>
  <c r="R133"/>
  <c r="P133"/>
  <c r="N133"/>
  <c r="L133"/>
  <c r="J133"/>
  <c r="H133"/>
  <c r="F133"/>
  <c r="E133"/>
  <c r="AA132"/>
  <c r="D133"/>
  <c r="AB132"/>
  <c r="Z132"/>
  <c r="Y132"/>
  <c r="X132"/>
  <c r="AD133"/>
  <c r="C133" l="1"/>
  <c r="AC131"/>
  <c r="W132"/>
  <c r="U132"/>
  <c r="S132"/>
  <c r="Q132"/>
  <c r="O132"/>
  <c r="M132"/>
  <c r="K132"/>
  <c r="I132"/>
  <c r="G132"/>
  <c r="T132"/>
  <c r="P132"/>
  <c r="L132"/>
  <c r="J132"/>
  <c r="V132"/>
  <c r="R132"/>
  <c r="N132"/>
  <c r="H132"/>
  <c r="F132"/>
  <c r="E132"/>
  <c r="D132"/>
  <c r="AB131"/>
  <c r="AA131"/>
  <c r="Z131"/>
  <c r="Y131"/>
  <c r="X131"/>
  <c r="AD132"/>
  <c r="C132" l="1"/>
  <c r="AC130"/>
  <c r="W131"/>
  <c r="U131"/>
  <c r="S131"/>
  <c r="Q131"/>
  <c r="O131"/>
  <c r="M131"/>
  <c r="K131"/>
  <c r="I131"/>
  <c r="G131"/>
  <c r="V131"/>
  <c r="T131"/>
  <c r="R131"/>
  <c r="P131"/>
  <c r="N131"/>
  <c r="L131"/>
  <c r="J131"/>
  <c r="H131"/>
  <c r="F131"/>
  <c r="E131"/>
  <c r="D131"/>
  <c r="AB130"/>
  <c r="AA130"/>
  <c r="Z130"/>
  <c r="Y130"/>
  <c r="X130"/>
  <c r="AD131"/>
  <c r="C131" l="1"/>
  <c r="AC129"/>
  <c r="W130"/>
  <c r="U130"/>
  <c r="S130"/>
  <c r="Q130"/>
  <c r="O130"/>
  <c r="M130"/>
  <c r="K130"/>
  <c r="I130"/>
  <c r="G130"/>
  <c r="V130"/>
  <c r="T130"/>
  <c r="R130"/>
  <c r="P130"/>
  <c r="N130"/>
  <c r="L130"/>
  <c r="J130"/>
  <c r="H130"/>
  <c r="F130"/>
  <c r="E130"/>
  <c r="AA129"/>
  <c r="D130"/>
  <c r="AB129"/>
  <c r="Z129"/>
  <c r="Y129"/>
  <c r="X129"/>
  <c r="AD130"/>
  <c r="C130" l="1"/>
  <c r="AC128"/>
  <c r="W129"/>
  <c r="U129"/>
  <c r="S129"/>
  <c r="Q129"/>
  <c r="O129"/>
  <c r="M129"/>
  <c r="K129"/>
  <c r="I129"/>
  <c r="G129"/>
  <c r="V129"/>
  <c r="T129"/>
  <c r="R129"/>
  <c r="P129"/>
  <c r="N129"/>
  <c r="L129"/>
  <c r="J129"/>
  <c r="H129"/>
  <c r="F129"/>
  <c r="E129"/>
  <c r="D129"/>
  <c r="AB128"/>
  <c r="AA128"/>
  <c r="Z128"/>
  <c r="Y128"/>
  <c r="X128"/>
  <c r="AD129"/>
  <c r="C129" l="1"/>
  <c r="AC127"/>
  <c r="W128"/>
  <c r="U128"/>
  <c r="V128"/>
  <c r="T128"/>
  <c r="R128"/>
  <c r="P128"/>
  <c r="N128"/>
  <c r="L128"/>
  <c r="J128"/>
  <c r="H128"/>
  <c r="S128"/>
  <c r="Q128"/>
  <c r="O128"/>
  <c r="M128"/>
  <c r="K128"/>
  <c r="I128"/>
  <c r="G128"/>
  <c r="F128"/>
  <c r="E128"/>
  <c r="AA127"/>
  <c r="D128"/>
  <c r="AB127"/>
  <c r="Z127"/>
  <c r="Y127"/>
  <c r="X127"/>
  <c r="AD128"/>
  <c r="C128" l="1"/>
  <c r="AC126"/>
  <c r="W127"/>
  <c r="U127"/>
  <c r="S127"/>
  <c r="Q127"/>
  <c r="O127"/>
  <c r="M127"/>
  <c r="K127"/>
  <c r="I127"/>
  <c r="G127"/>
  <c r="V127"/>
  <c r="T127"/>
  <c r="R127"/>
  <c r="P127"/>
  <c r="N127"/>
  <c r="L127"/>
  <c r="J127"/>
  <c r="H127"/>
  <c r="F127"/>
  <c r="E127"/>
  <c r="AA126"/>
  <c r="D127"/>
  <c r="AB126"/>
  <c r="Z126"/>
  <c r="Y126"/>
  <c r="X126"/>
  <c r="AD127"/>
  <c r="C127" l="1"/>
  <c r="AC125"/>
  <c r="W126"/>
  <c r="U126"/>
  <c r="S126"/>
  <c r="Q126"/>
  <c r="O126"/>
  <c r="M126"/>
  <c r="K126"/>
  <c r="I126"/>
  <c r="G126"/>
  <c r="V126"/>
  <c r="T126"/>
  <c r="R126"/>
  <c r="P126"/>
  <c r="N126"/>
  <c r="L126"/>
  <c r="J126"/>
  <c r="H126"/>
  <c r="F126"/>
  <c r="E126"/>
  <c r="D126"/>
  <c r="AB125"/>
  <c r="AA125"/>
  <c r="Z125"/>
  <c r="Y125"/>
  <c r="X125"/>
  <c r="AD126"/>
  <c r="C126" l="1"/>
  <c r="AC124"/>
  <c r="W125"/>
  <c r="U125"/>
  <c r="S125"/>
  <c r="Q125"/>
  <c r="O125"/>
  <c r="M125"/>
  <c r="K125"/>
  <c r="I125"/>
  <c r="G125"/>
  <c r="V125"/>
  <c r="T125"/>
  <c r="R125"/>
  <c r="P125"/>
  <c r="N125"/>
  <c r="L125"/>
  <c r="J125"/>
  <c r="H125"/>
  <c r="F125"/>
  <c r="E125"/>
  <c r="D125"/>
  <c r="AB124"/>
  <c r="AA124"/>
  <c r="Z124"/>
  <c r="Y124"/>
  <c r="X124"/>
  <c r="AD125"/>
  <c r="C125" l="1"/>
  <c r="AC123"/>
  <c r="W124"/>
  <c r="U124"/>
  <c r="S124"/>
  <c r="Q124"/>
  <c r="O124"/>
  <c r="M124"/>
  <c r="K124"/>
  <c r="I124"/>
  <c r="G124"/>
  <c r="V124"/>
  <c r="T124"/>
  <c r="R124"/>
  <c r="P124"/>
  <c r="N124"/>
  <c r="L124"/>
  <c r="J124"/>
  <c r="H124"/>
  <c r="F124"/>
  <c r="E124"/>
  <c r="D124"/>
  <c r="AB123"/>
  <c r="AA123"/>
  <c r="Z123"/>
  <c r="Y123"/>
  <c r="X123"/>
  <c r="AD124"/>
  <c r="C124" l="1"/>
  <c r="AC122"/>
  <c r="W123"/>
  <c r="U123"/>
  <c r="S123"/>
  <c r="Q123"/>
  <c r="O123"/>
  <c r="M123"/>
  <c r="K123"/>
  <c r="I123"/>
  <c r="G123"/>
  <c r="V123"/>
  <c r="T123"/>
  <c r="R123"/>
  <c r="P123"/>
  <c r="N123"/>
  <c r="L123"/>
  <c r="H123"/>
  <c r="J123"/>
  <c r="F123"/>
  <c r="E123"/>
  <c r="D123"/>
  <c r="AB122"/>
  <c r="AA122"/>
  <c r="Z122"/>
  <c r="Y122"/>
  <c r="X122"/>
  <c r="AD123"/>
  <c r="C123" l="1"/>
  <c r="AC121"/>
  <c r="W122"/>
  <c r="U122"/>
  <c r="S122"/>
  <c r="Q122"/>
  <c r="O122"/>
  <c r="M122"/>
  <c r="K122"/>
  <c r="I122"/>
  <c r="G122"/>
  <c r="V122"/>
  <c r="T122"/>
  <c r="R122"/>
  <c r="P122"/>
  <c r="N122"/>
  <c r="L122"/>
  <c r="J122"/>
  <c r="H122"/>
  <c r="F122"/>
  <c r="E122"/>
  <c r="AA121"/>
  <c r="D122"/>
  <c r="AB121"/>
  <c r="Z121"/>
  <c r="Y121"/>
  <c r="X121"/>
  <c r="AD122"/>
  <c r="C122" l="1"/>
  <c r="AC120"/>
  <c r="W121"/>
  <c r="U121"/>
  <c r="S121"/>
  <c r="Q121"/>
  <c r="O121"/>
  <c r="M121"/>
  <c r="K121"/>
  <c r="I121"/>
  <c r="G121"/>
  <c r="V121"/>
  <c r="T121"/>
  <c r="R121"/>
  <c r="P121"/>
  <c r="N121"/>
  <c r="L121"/>
  <c r="J121"/>
  <c r="H121"/>
  <c r="F121"/>
  <c r="E121"/>
  <c r="D121"/>
  <c r="AB120"/>
  <c r="AA120"/>
  <c r="Z120"/>
  <c r="Y120"/>
  <c r="X120"/>
  <c r="AD121"/>
  <c r="C121" l="1"/>
  <c r="AC119"/>
  <c r="W120"/>
  <c r="U120"/>
  <c r="S120"/>
  <c r="Q120"/>
  <c r="O120"/>
  <c r="M120"/>
  <c r="K120"/>
  <c r="I120"/>
  <c r="G120"/>
  <c r="V120"/>
  <c r="T120"/>
  <c r="R120"/>
  <c r="P120"/>
  <c r="N120"/>
  <c r="L120"/>
  <c r="J120"/>
  <c r="H120"/>
  <c r="F120"/>
  <c r="E120"/>
  <c r="D120"/>
  <c r="AB119"/>
  <c r="AA119"/>
  <c r="Z119"/>
  <c r="Y119"/>
  <c r="X119"/>
  <c r="AD120"/>
  <c r="C120" l="1"/>
  <c r="AC118"/>
  <c r="W119"/>
  <c r="U119"/>
  <c r="S119"/>
  <c r="Q119"/>
  <c r="O119"/>
  <c r="M119"/>
  <c r="K119"/>
  <c r="I119"/>
  <c r="G119"/>
  <c r="V119"/>
  <c r="T119"/>
  <c r="R119"/>
  <c r="P119"/>
  <c r="N119"/>
  <c r="L119"/>
  <c r="J119"/>
  <c r="H119"/>
  <c r="F119"/>
  <c r="E119"/>
  <c r="AA118"/>
  <c r="D119"/>
  <c r="AB118"/>
  <c r="Z118"/>
  <c r="Y118"/>
  <c r="X118"/>
  <c r="AD119"/>
  <c r="C119" l="1"/>
  <c r="AC117"/>
  <c r="W118"/>
  <c r="U118"/>
  <c r="S118"/>
  <c r="Q118"/>
  <c r="O118"/>
  <c r="M118"/>
  <c r="K118"/>
  <c r="I118"/>
  <c r="G118"/>
  <c r="V118"/>
  <c r="T118"/>
  <c r="R118"/>
  <c r="P118"/>
  <c r="N118"/>
  <c r="L118"/>
  <c r="J118"/>
  <c r="H118"/>
  <c r="F118"/>
  <c r="E118"/>
  <c r="AA117"/>
  <c r="D118"/>
  <c r="AB117"/>
  <c r="Z117"/>
  <c r="Y117"/>
  <c r="X117"/>
  <c r="AD118"/>
  <c r="C118" l="1"/>
  <c r="AC116"/>
  <c r="W117"/>
  <c r="U117"/>
  <c r="S117"/>
  <c r="Q117"/>
  <c r="O117"/>
  <c r="M117"/>
  <c r="K117"/>
  <c r="I117"/>
  <c r="G117"/>
  <c r="T117"/>
  <c r="R117"/>
  <c r="P117"/>
  <c r="N117"/>
  <c r="L117"/>
  <c r="H117"/>
  <c r="V117"/>
  <c r="J117"/>
  <c r="F117"/>
  <c r="E117"/>
  <c r="AA116"/>
  <c r="D117"/>
  <c r="AB116"/>
  <c r="Z116"/>
  <c r="Y116"/>
  <c r="X116"/>
  <c r="AD117"/>
  <c r="C117" l="1"/>
  <c r="AC115"/>
  <c r="W116"/>
  <c r="U116"/>
  <c r="S116"/>
  <c r="Q116"/>
  <c r="O116"/>
  <c r="M116"/>
  <c r="K116"/>
  <c r="I116"/>
  <c r="G116"/>
  <c r="V116"/>
  <c r="T116"/>
  <c r="R116"/>
  <c r="P116"/>
  <c r="N116"/>
  <c r="L116"/>
  <c r="J116"/>
  <c r="H116"/>
  <c r="F116"/>
  <c r="E116"/>
  <c r="AA115"/>
  <c r="D116"/>
  <c r="AB115"/>
  <c r="Z115"/>
  <c r="Y115"/>
  <c r="X115"/>
  <c r="AD116"/>
  <c r="C116" l="1"/>
  <c r="AC114"/>
  <c r="W115"/>
  <c r="U115"/>
  <c r="S115"/>
  <c r="Q115"/>
  <c r="O115"/>
  <c r="M115"/>
  <c r="K115"/>
  <c r="I115"/>
  <c r="G115"/>
  <c r="V115"/>
  <c r="T115"/>
  <c r="R115"/>
  <c r="P115"/>
  <c r="N115"/>
  <c r="L115"/>
  <c r="J115"/>
  <c r="H115"/>
  <c r="F115"/>
  <c r="E115"/>
  <c r="D115"/>
  <c r="AB114"/>
  <c r="AA114"/>
  <c r="Z114"/>
  <c r="Y114"/>
  <c r="X114"/>
  <c r="AD115"/>
  <c r="C115" l="1"/>
  <c r="AC113"/>
  <c r="W114"/>
  <c r="U114"/>
  <c r="S114"/>
  <c r="Q114"/>
  <c r="O114"/>
  <c r="M114"/>
  <c r="K114"/>
  <c r="I114"/>
  <c r="G114"/>
  <c r="V114"/>
  <c r="T114"/>
  <c r="P114"/>
  <c r="N114"/>
  <c r="L114"/>
  <c r="J114"/>
  <c r="H114"/>
  <c r="R114"/>
  <c r="F114"/>
  <c r="E114"/>
  <c r="D114"/>
  <c r="AB113"/>
  <c r="AA113"/>
  <c r="Z113"/>
  <c r="Y113"/>
  <c r="X113"/>
  <c r="AD114"/>
  <c r="C114" l="1"/>
  <c r="AC112"/>
  <c r="W113"/>
  <c r="U113"/>
  <c r="S113"/>
  <c r="Q113"/>
  <c r="O113"/>
  <c r="M113"/>
  <c r="K113"/>
  <c r="I113"/>
  <c r="G113"/>
  <c r="V113"/>
  <c r="T113"/>
  <c r="R113"/>
  <c r="P113"/>
  <c r="N113"/>
  <c r="L113"/>
  <c r="J113"/>
  <c r="H113"/>
  <c r="F113"/>
  <c r="E113"/>
  <c r="D113"/>
  <c r="AB112"/>
  <c r="AA112"/>
  <c r="Z112"/>
  <c r="Y112"/>
  <c r="X112"/>
  <c r="AD113"/>
  <c r="C113" l="1"/>
  <c r="AC111"/>
  <c r="W112"/>
  <c r="U112"/>
  <c r="S112"/>
  <c r="Q112"/>
  <c r="O112"/>
  <c r="M112"/>
  <c r="K112"/>
  <c r="I112"/>
  <c r="G112"/>
  <c r="V112"/>
  <c r="T112"/>
  <c r="R112"/>
  <c r="P112"/>
  <c r="N112"/>
  <c r="L112"/>
  <c r="J112"/>
  <c r="H112"/>
  <c r="F112"/>
  <c r="E112"/>
  <c r="AA111"/>
  <c r="D112"/>
  <c r="AB111"/>
  <c r="Z111"/>
  <c r="Y111"/>
  <c r="X111"/>
  <c r="AD112"/>
  <c r="C112" l="1"/>
  <c r="AC110"/>
  <c r="W111"/>
  <c r="U111"/>
  <c r="S111"/>
  <c r="Q111"/>
  <c r="O111"/>
  <c r="M111"/>
  <c r="K111"/>
  <c r="I111"/>
  <c r="G111"/>
  <c r="V111"/>
  <c r="T111"/>
  <c r="R111"/>
  <c r="P111"/>
  <c r="N111"/>
  <c r="L111"/>
  <c r="J111"/>
  <c r="H111"/>
  <c r="F111"/>
  <c r="E111"/>
  <c r="D111"/>
  <c r="AB110"/>
  <c r="AA110"/>
  <c r="Z110"/>
  <c r="Y110"/>
  <c r="X110"/>
  <c r="AD111"/>
  <c r="C111" l="1"/>
  <c r="AC109"/>
  <c r="W110"/>
  <c r="U110"/>
  <c r="S110"/>
  <c r="Q110"/>
  <c r="O110"/>
  <c r="M110"/>
  <c r="K110"/>
  <c r="I110"/>
  <c r="G110"/>
  <c r="V110"/>
  <c r="T110"/>
  <c r="R110"/>
  <c r="P110"/>
  <c r="N110"/>
  <c r="L110"/>
  <c r="J110"/>
  <c r="H110"/>
  <c r="F110"/>
  <c r="E110"/>
  <c r="D110"/>
  <c r="AB109"/>
  <c r="AA109"/>
  <c r="Z109"/>
  <c r="Y109"/>
  <c r="X109"/>
  <c r="AD110"/>
  <c r="C110" l="1"/>
  <c r="AC108"/>
  <c r="W109"/>
  <c r="U109"/>
  <c r="S109"/>
  <c r="Q109"/>
  <c r="O109"/>
  <c r="M109"/>
  <c r="K109"/>
  <c r="I109"/>
  <c r="G109"/>
  <c r="V109"/>
  <c r="T109"/>
  <c r="R109"/>
  <c r="P109"/>
  <c r="N109"/>
  <c r="L109"/>
  <c r="J109"/>
  <c r="H109"/>
  <c r="F109"/>
  <c r="E109"/>
  <c r="D109"/>
  <c r="AB108"/>
  <c r="AA108"/>
  <c r="Z108"/>
  <c r="Y108"/>
  <c r="X108"/>
  <c r="AD109"/>
  <c r="C109" l="1"/>
  <c r="AC107"/>
  <c r="W108"/>
  <c r="U108"/>
  <c r="S108"/>
  <c r="Q108"/>
  <c r="O108"/>
  <c r="M108"/>
  <c r="K108"/>
  <c r="I108"/>
  <c r="G108"/>
  <c r="V108"/>
  <c r="T108"/>
  <c r="R108"/>
  <c r="P108"/>
  <c r="N108"/>
  <c r="L108"/>
  <c r="J108"/>
  <c r="H108"/>
  <c r="F108"/>
  <c r="E108"/>
  <c r="AA107"/>
  <c r="D108"/>
  <c r="AB107"/>
  <c r="Z107"/>
  <c r="Y107"/>
  <c r="X107"/>
  <c r="AD108"/>
  <c r="C108" l="1"/>
  <c r="AC106"/>
  <c r="W107"/>
  <c r="U107"/>
  <c r="S107"/>
  <c r="Q107"/>
  <c r="O107"/>
  <c r="M107"/>
  <c r="K107"/>
  <c r="I107"/>
  <c r="G107"/>
  <c r="V107"/>
  <c r="T107"/>
  <c r="R107"/>
  <c r="P107"/>
  <c r="N107"/>
  <c r="L107"/>
  <c r="J107"/>
  <c r="H107"/>
  <c r="F107"/>
  <c r="E107"/>
  <c r="AA106"/>
  <c r="AB106"/>
  <c r="D107"/>
  <c r="Z106"/>
  <c r="Y106"/>
  <c r="X106"/>
  <c r="AD107"/>
  <c r="C107" l="1"/>
  <c r="AC105"/>
  <c r="W106"/>
  <c r="U106"/>
  <c r="S106"/>
  <c r="Q106"/>
  <c r="O106"/>
  <c r="M106"/>
  <c r="K106"/>
  <c r="I106"/>
  <c r="G106"/>
  <c r="V106"/>
  <c r="T106"/>
  <c r="R106"/>
  <c r="P106"/>
  <c r="N106"/>
  <c r="L106"/>
  <c r="J106"/>
  <c r="H106"/>
  <c r="F106"/>
  <c r="E106"/>
  <c r="AA105"/>
  <c r="D106"/>
  <c r="AB105"/>
  <c r="Z105"/>
  <c r="Y105"/>
  <c r="X105"/>
  <c r="AD106"/>
  <c r="C106" l="1"/>
  <c r="AC104"/>
  <c r="W105"/>
  <c r="U105"/>
  <c r="S105"/>
  <c r="Q105"/>
  <c r="O105"/>
  <c r="M105"/>
  <c r="K105"/>
  <c r="I105"/>
  <c r="G105"/>
  <c r="R105"/>
  <c r="N105"/>
  <c r="J105"/>
  <c r="H105"/>
  <c r="V105"/>
  <c r="T105"/>
  <c r="P105"/>
  <c r="L105"/>
  <c r="F105"/>
  <c r="E105"/>
  <c r="AA104"/>
  <c r="D105"/>
  <c r="AB104"/>
  <c r="Z104"/>
  <c r="Y104"/>
  <c r="X104"/>
  <c r="AD105"/>
  <c r="C105" l="1"/>
  <c r="AC103"/>
  <c r="W104"/>
  <c r="U104"/>
  <c r="S104"/>
  <c r="Q104"/>
  <c r="O104"/>
  <c r="M104"/>
  <c r="K104"/>
  <c r="I104"/>
  <c r="G104"/>
  <c r="V104"/>
  <c r="T104"/>
  <c r="R104"/>
  <c r="P104"/>
  <c r="N104"/>
  <c r="L104"/>
  <c r="J104"/>
  <c r="H104"/>
  <c r="F104"/>
  <c r="E104"/>
  <c r="D104"/>
  <c r="AB103"/>
  <c r="AA103"/>
  <c r="Z103"/>
  <c r="Y103"/>
  <c r="X103"/>
  <c r="AD104"/>
  <c r="C104" l="1"/>
  <c r="AC102"/>
  <c r="W103"/>
  <c r="U103"/>
  <c r="S103"/>
  <c r="Q103"/>
  <c r="O103"/>
  <c r="M103"/>
  <c r="K103"/>
  <c r="I103"/>
  <c r="G103"/>
  <c r="V103"/>
  <c r="T103"/>
  <c r="R103"/>
  <c r="P103"/>
  <c r="N103"/>
  <c r="J103"/>
  <c r="H103"/>
  <c r="L103"/>
  <c r="F103"/>
  <c r="E103"/>
  <c r="AA102"/>
  <c r="D103"/>
  <c r="AB102"/>
  <c r="Z102"/>
  <c r="Y102"/>
  <c r="X102"/>
  <c r="AD103"/>
  <c r="C103" l="1"/>
  <c r="AC101"/>
  <c r="W102"/>
  <c r="U102"/>
  <c r="S102"/>
  <c r="Q102"/>
  <c r="O102"/>
  <c r="M102"/>
  <c r="K102"/>
  <c r="I102"/>
  <c r="G102"/>
  <c r="V102"/>
  <c r="T102"/>
  <c r="R102"/>
  <c r="P102"/>
  <c r="N102"/>
  <c r="L102"/>
  <c r="J102"/>
  <c r="H102"/>
  <c r="F102"/>
  <c r="E102"/>
  <c r="D102"/>
  <c r="AB101"/>
  <c r="AA101"/>
  <c r="Z101"/>
  <c r="Y101"/>
  <c r="X101"/>
  <c r="AD102"/>
  <c r="C102" l="1"/>
  <c r="AC100"/>
  <c r="W101"/>
  <c r="U101"/>
  <c r="S101"/>
  <c r="Q101"/>
  <c r="O101"/>
  <c r="M101"/>
  <c r="K101"/>
  <c r="I101"/>
  <c r="G101"/>
  <c r="V101"/>
  <c r="T101"/>
  <c r="R101"/>
  <c r="P101"/>
  <c r="N101"/>
  <c r="L101"/>
  <c r="J101"/>
  <c r="H101"/>
  <c r="F101"/>
  <c r="E101"/>
  <c r="D101"/>
  <c r="AB100"/>
  <c r="AA100"/>
  <c r="Z100"/>
  <c r="Y100"/>
  <c r="X100"/>
  <c r="AD101"/>
  <c r="C101" l="1"/>
  <c r="AC99"/>
  <c r="W100"/>
  <c r="U100"/>
  <c r="S100"/>
  <c r="Q100"/>
  <c r="O100"/>
  <c r="M100"/>
  <c r="K100"/>
  <c r="I100"/>
  <c r="G100"/>
  <c r="V100"/>
  <c r="T100"/>
  <c r="R100"/>
  <c r="P100"/>
  <c r="N100"/>
  <c r="L100"/>
  <c r="J100"/>
  <c r="H100"/>
  <c r="F100"/>
  <c r="E100"/>
  <c r="AA99"/>
  <c r="AB99"/>
  <c r="D100"/>
  <c r="Z99"/>
  <c r="Y99"/>
  <c r="X99"/>
  <c r="AD100"/>
  <c r="C100" l="1"/>
  <c r="AC98"/>
  <c r="W99"/>
  <c r="U99"/>
  <c r="S99"/>
  <c r="Q99"/>
  <c r="O99"/>
  <c r="M99"/>
  <c r="K99"/>
  <c r="I99"/>
  <c r="G99"/>
  <c r="V99"/>
  <c r="T99"/>
  <c r="R99"/>
  <c r="P99"/>
  <c r="N99"/>
  <c r="L99"/>
  <c r="J99"/>
  <c r="H99"/>
  <c r="F99"/>
  <c r="E99"/>
  <c r="D99"/>
  <c r="AB98"/>
  <c r="AA98"/>
  <c r="Z98"/>
  <c r="Y98"/>
  <c r="X98"/>
  <c r="AD99"/>
  <c r="C99" l="1"/>
  <c r="AC97"/>
  <c r="W98"/>
  <c r="U98"/>
  <c r="S98"/>
  <c r="Q98"/>
  <c r="O98"/>
  <c r="M98"/>
  <c r="K98"/>
  <c r="I98"/>
  <c r="G98"/>
  <c r="V98"/>
  <c r="T98"/>
  <c r="R98"/>
  <c r="P98"/>
  <c r="N98"/>
  <c r="L98"/>
  <c r="J98"/>
  <c r="H98"/>
  <c r="F98"/>
  <c r="E98"/>
  <c r="D98"/>
  <c r="AB97"/>
  <c r="AA97"/>
  <c r="Z97"/>
  <c r="Y97"/>
  <c r="X97"/>
  <c r="AD98"/>
  <c r="C98" l="1"/>
  <c r="AC96"/>
  <c r="W97"/>
  <c r="U97"/>
  <c r="S97"/>
  <c r="Q97"/>
  <c r="O97"/>
  <c r="M97"/>
  <c r="K97"/>
  <c r="I97"/>
  <c r="G97"/>
  <c r="V97"/>
  <c r="T97"/>
  <c r="R97"/>
  <c r="P97"/>
  <c r="N97"/>
  <c r="L97"/>
  <c r="J97"/>
  <c r="H97"/>
  <c r="F97"/>
  <c r="E97"/>
  <c r="AA96"/>
  <c r="D97"/>
  <c r="AB96"/>
  <c r="Z96"/>
  <c r="Y96"/>
  <c r="X96"/>
  <c r="AD97"/>
  <c r="C97" l="1"/>
  <c r="AC95"/>
  <c r="W96"/>
  <c r="U96"/>
  <c r="S96"/>
  <c r="Q96"/>
  <c r="O96"/>
  <c r="M96"/>
  <c r="K96"/>
  <c r="I96"/>
  <c r="G96"/>
  <c r="T96"/>
  <c r="R96"/>
  <c r="P96"/>
  <c r="N96"/>
  <c r="J96"/>
  <c r="H96"/>
  <c r="V96"/>
  <c r="L96"/>
  <c r="F96"/>
  <c r="E96"/>
  <c r="AA95"/>
  <c r="D96"/>
  <c r="AB95"/>
  <c r="Z95"/>
  <c r="Y95"/>
  <c r="X95"/>
  <c r="AD96"/>
  <c r="C96" l="1"/>
  <c r="AC94"/>
  <c r="W95"/>
  <c r="U95"/>
  <c r="S95"/>
  <c r="Q95"/>
  <c r="O95"/>
  <c r="M95"/>
  <c r="K95"/>
  <c r="I95"/>
  <c r="G95"/>
  <c r="V95"/>
  <c r="T95"/>
  <c r="R95"/>
  <c r="P95"/>
  <c r="L95"/>
  <c r="J95"/>
  <c r="H95"/>
  <c r="N95"/>
  <c r="F95"/>
  <c r="E95"/>
  <c r="D95"/>
  <c r="AB94"/>
  <c r="AA94"/>
  <c r="Z94"/>
  <c r="Y94"/>
  <c r="X94"/>
  <c r="AD95"/>
  <c r="C95" l="1"/>
  <c r="AC93"/>
  <c r="W94"/>
  <c r="U94"/>
  <c r="S94"/>
  <c r="Q94"/>
  <c r="O94"/>
  <c r="M94"/>
  <c r="K94"/>
  <c r="I94"/>
  <c r="G94"/>
  <c r="V94"/>
  <c r="T94"/>
  <c r="R94"/>
  <c r="P94"/>
  <c r="N94"/>
  <c r="L94"/>
  <c r="J94"/>
  <c r="H94"/>
  <c r="F94"/>
  <c r="E94"/>
  <c r="AA93"/>
  <c r="AB93"/>
  <c r="D94"/>
  <c r="Z93"/>
  <c r="Y93"/>
  <c r="X93"/>
  <c r="AD94"/>
  <c r="C94" l="1"/>
  <c r="AC92"/>
  <c r="W93"/>
  <c r="U93"/>
  <c r="S93"/>
  <c r="Q93"/>
  <c r="O93"/>
  <c r="M93"/>
  <c r="K93"/>
  <c r="I93"/>
  <c r="G93"/>
  <c r="V93"/>
  <c r="T93"/>
  <c r="R93"/>
  <c r="P93"/>
  <c r="N93"/>
  <c r="L93"/>
  <c r="J93"/>
  <c r="H93"/>
  <c r="F93"/>
  <c r="E93"/>
  <c r="AA92"/>
  <c r="AB92"/>
  <c r="D93"/>
  <c r="Z92"/>
  <c r="Y92"/>
  <c r="X92"/>
  <c r="AD93"/>
  <c r="C93" l="1"/>
  <c r="AC91"/>
  <c r="W92"/>
  <c r="U92"/>
  <c r="S92"/>
  <c r="Q92"/>
  <c r="O92"/>
  <c r="M92"/>
  <c r="K92"/>
  <c r="I92"/>
  <c r="G92"/>
  <c r="V92"/>
  <c r="T92"/>
  <c r="R92"/>
  <c r="P92"/>
  <c r="N92"/>
  <c r="L92"/>
  <c r="J92"/>
  <c r="H92"/>
  <c r="F92"/>
  <c r="E92"/>
  <c r="AA91"/>
  <c r="D92"/>
  <c r="AB91"/>
  <c r="Z91"/>
  <c r="Y91"/>
  <c r="X91"/>
  <c r="AD92"/>
  <c r="C92" l="1"/>
  <c r="AC90"/>
  <c r="W91"/>
  <c r="U91"/>
  <c r="S91"/>
  <c r="Q91"/>
  <c r="O91"/>
  <c r="M91"/>
  <c r="K91"/>
  <c r="I91"/>
  <c r="G91"/>
  <c r="T91"/>
  <c r="R91"/>
  <c r="P91"/>
  <c r="N91"/>
  <c r="L91"/>
  <c r="H91"/>
  <c r="V91"/>
  <c r="J91"/>
  <c r="F91"/>
  <c r="E91"/>
  <c r="D91"/>
  <c r="AB90"/>
  <c r="AA90"/>
  <c r="Z90"/>
  <c r="Y90"/>
  <c r="X90"/>
  <c r="AD91"/>
  <c r="C91" l="1"/>
  <c r="AC89"/>
  <c r="W90"/>
  <c r="U90"/>
  <c r="S90"/>
  <c r="Q90"/>
  <c r="O90"/>
  <c r="M90"/>
  <c r="K90"/>
  <c r="I90"/>
  <c r="G90"/>
  <c r="V90"/>
  <c r="T90"/>
  <c r="R90"/>
  <c r="P90"/>
  <c r="N90"/>
  <c r="L90"/>
  <c r="J90"/>
  <c r="H90"/>
  <c r="F90"/>
  <c r="E90"/>
  <c r="AA89"/>
  <c r="D90"/>
  <c r="AB89"/>
  <c r="Z89"/>
  <c r="Y89"/>
  <c r="X89"/>
  <c r="AD90"/>
  <c r="C90" l="1"/>
  <c r="AC88"/>
  <c r="W89"/>
  <c r="U89"/>
  <c r="S89"/>
  <c r="Q89"/>
  <c r="O89"/>
  <c r="M89"/>
  <c r="K89"/>
  <c r="I89"/>
  <c r="G89"/>
  <c r="V89"/>
  <c r="T89"/>
  <c r="R89"/>
  <c r="P89"/>
  <c r="N89"/>
  <c r="L89"/>
  <c r="J89"/>
  <c r="H89"/>
  <c r="F89"/>
  <c r="E89"/>
  <c r="AA88"/>
  <c r="D89"/>
  <c r="AB88"/>
  <c r="Z88"/>
  <c r="Y88"/>
  <c r="X88"/>
  <c r="AD89"/>
  <c r="C89" l="1"/>
  <c r="AC87"/>
  <c r="W88"/>
  <c r="U88"/>
  <c r="S88"/>
  <c r="Q88"/>
  <c r="O88"/>
  <c r="M88"/>
  <c r="K88"/>
  <c r="I88"/>
  <c r="G88"/>
  <c r="R88"/>
  <c r="N88"/>
  <c r="L88"/>
  <c r="J88"/>
  <c r="V88"/>
  <c r="T88"/>
  <c r="P88"/>
  <c r="H88"/>
  <c r="F88"/>
  <c r="E88"/>
  <c r="AA87"/>
  <c r="D88"/>
  <c r="AB87"/>
  <c r="Z87"/>
  <c r="Y87"/>
  <c r="X87"/>
  <c r="AD88"/>
  <c r="C88" l="1"/>
  <c r="AC86"/>
  <c r="W87"/>
  <c r="U87"/>
  <c r="S87"/>
  <c r="Q87"/>
  <c r="O87"/>
  <c r="M87"/>
  <c r="K87"/>
  <c r="I87"/>
  <c r="G87"/>
  <c r="V87"/>
  <c r="T87"/>
  <c r="R87"/>
  <c r="P87"/>
  <c r="N87"/>
  <c r="L87"/>
  <c r="J87"/>
  <c r="H87"/>
  <c r="F87"/>
  <c r="E87"/>
  <c r="AA86"/>
  <c r="D87"/>
  <c r="AB86"/>
  <c r="Z86"/>
  <c r="Y86"/>
  <c r="X86"/>
  <c r="AD87"/>
  <c r="C87" l="1"/>
  <c r="AC85"/>
  <c r="W86"/>
  <c r="U86"/>
  <c r="S86"/>
  <c r="Q86"/>
  <c r="O86"/>
  <c r="M86"/>
  <c r="K86"/>
  <c r="I86"/>
  <c r="G86"/>
  <c r="V86"/>
  <c r="R86"/>
  <c r="P86"/>
  <c r="N86"/>
  <c r="L86"/>
  <c r="J86"/>
  <c r="T86"/>
  <c r="H86"/>
  <c r="F86"/>
  <c r="E86"/>
  <c r="D86"/>
  <c r="AB85"/>
  <c r="AA85"/>
  <c r="Z85"/>
  <c r="Y85"/>
  <c r="X85"/>
  <c r="AD86"/>
  <c r="C86" l="1"/>
  <c r="AC84"/>
  <c r="W85"/>
  <c r="U85"/>
  <c r="S85"/>
  <c r="Q85"/>
  <c r="O85"/>
  <c r="M85"/>
  <c r="K85"/>
  <c r="I85"/>
  <c r="G85"/>
  <c r="V85"/>
  <c r="R85"/>
  <c r="P85"/>
  <c r="N85"/>
  <c r="L85"/>
  <c r="J85"/>
  <c r="H85"/>
  <c r="T85"/>
  <c r="F85"/>
  <c r="E85"/>
  <c r="AA84"/>
  <c r="D85"/>
  <c r="AB84"/>
  <c r="Z84"/>
  <c r="Y84"/>
  <c r="X84"/>
  <c r="AD85"/>
  <c r="C85" l="1"/>
  <c r="AC83"/>
  <c r="W84"/>
  <c r="U84"/>
  <c r="S84"/>
  <c r="Q84"/>
  <c r="O84"/>
  <c r="M84"/>
  <c r="K84"/>
  <c r="I84"/>
  <c r="G84"/>
  <c r="V84"/>
  <c r="T84"/>
  <c r="R84"/>
  <c r="P84"/>
  <c r="N84"/>
  <c r="L84"/>
  <c r="J84"/>
  <c r="H84"/>
  <c r="F84"/>
  <c r="E84"/>
  <c r="D84"/>
  <c r="AB83"/>
  <c r="AA83"/>
  <c r="Z83"/>
  <c r="Y83"/>
  <c r="X83"/>
  <c r="AD84"/>
  <c r="C84" l="1"/>
  <c r="AC82"/>
  <c r="W83"/>
  <c r="U83"/>
  <c r="S83"/>
  <c r="Q83"/>
  <c r="O83"/>
  <c r="M83"/>
  <c r="K83"/>
  <c r="I83"/>
  <c r="G83"/>
  <c r="V83"/>
  <c r="T83"/>
  <c r="R83"/>
  <c r="P83"/>
  <c r="N83"/>
  <c r="L83"/>
  <c r="J83"/>
  <c r="H83"/>
  <c r="F83"/>
  <c r="E83"/>
  <c r="AA82"/>
  <c r="AB82"/>
  <c r="D83"/>
  <c r="Z82"/>
  <c r="Y82"/>
  <c r="X82"/>
  <c r="AD83"/>
  <c r="C83" l="1"/>
  <c r="AC81"/>
  <c r="W82"/>
  <c r="U82"/>
  <c r="S82"/>
  <c r="Q82"/>
  <c r="O82"/>
  <c r="M82"/>
  <c r="K82"/>
  <c r="I82"/>
  <c r="G82"/>
  <c r="V82"/>
  <c r="T82"/>
  <c r="P82"/>
  <c r="N82"/>
  <c r="L82"/>
  <c r="J82"/>
  <c r="H82"/>
  <c r="R82"/>
  <c r="F82"/>
  <c r="E82"/>
  <c r="AA81"/>
  <c r="D82"/>
  <c r="AB81"/>
  <c r="Z81"/>
  <c r="Y81"/>
  <c r="X81"/>
  <c r="AD82"/>
  <c r="C82" l="1"/>
  <c r="AC80"/>
  <c r="W81"/>
  <c r="U81"/>
  <c r="S81"/>
  <c r="Q81"/>
  <c r="O81"/>
  <c r="M81"/>
  <c r="K81"/>
  <c r="I81"/>
  <c r="G81"/>
  <c r="V81"/>
  <c r="T81"/>
  <c r="R81"/>
  <c r="P81"/>
  <c r="N81"/>
  <c r="L81"/>
  <c r="J81"/>
  <c r="H81"/>
  <c r="F81"/>
  <c r="E81"/>
  <c r="D81"/>
  <c r="AB80"/>
  <c r="AA80"/>
  <c r="Z80"/>
  <c r="Y80"/>
  <c r="X80"/>
  <c r="AD81"/>
  <c r="C81" l="1"/>
  <c r="AC79"/>
  <c r="W80"/>
  <c r="U80"/>
  <c r="S80"/>
  <c r="Q80"/>
  <c r="O80"/>
  <c r="M80"/>
  <c r="K80"/>
  <c r="I80"/>
  <c r="G80"/>
  <c r="V80"/>
  <c r="T80"/>
  <c r="R80"/>
  <c r="P80"/>
  <c r="N80"/>
  <c r="L80"/>
  <c r="J80"/>
  <c r="H80"/>
  <c r="F80"/>
  <c r="E80"/>
  <c r="D80"/>
  <c r="AB79"/>
  <c r="AA79"/>
  <c r="Z79"/>
  <c r="Y79"/>
  <c r="X79"/>
  <c r="AD80"/>
  <c r="C80" l="1"/>
  <c r="AC78"/>
  <c r="W79"/>
  <c r="U79"/>
  <c r="S79"/>
  <c r="Q79"/>
  <c r="O79"/>
  <c r="M79"/>
  <c r="K79"/>
  <c r="I79"/>
  <c r="G79"/>
  <c r="V79"/>
  <c r="T79"/>
  <c r="R79"/>
  <c r="P79"/>
  <c r="N79"/>
  <c r="L79"/>
  <c r="J79"/>
  <c r="H79"/>
  <c r="F79"/>
  <c r="E79"/>
  <c r="D79"/>
  <c r="AB78"/>
  <c r="AA78"/>
  <c r="Z78"/>
  <c r="Y78"/>
  <c r="X78"/>
  <c r="AD79"/>
  <c r="C79" l="1"/>
  <c r="AC77"/>
  <c r="W78"/>
  <c r="U78"/>
  <c r="S78"/>
  <c r="Q78"/>
  <c r="O78"/>
  <c r="M78"/>
  <c r="K78"/>
  <c r="I78"/>
  <c r="G78"/>
  <c r="V78"/>
  <c r="T78"/>
  <c r="R78"/>
  <c r="P78"/>
  <c r="N78"/>
  <c r="L78"/>
  <c r="J78"/>
  <c r="H78"/>
  <c r="F78"/>
  <c r="E78"/>
  <c r="AA77"/>
  <c r="D78"/>
  <c r="AB77"/>
  <c r="Z77"/>
  <c r="Y77"/>
  <c r="X77"/>
  <c r="AD78"/>
  <c r="C78" l="1"/>
  <c r="AC76"/>
  <c r="W77"/>
  <c r="U77"/>
  <c r="S77"/>
  <c r="Q77"/>
  <c r="O77"/>
  <c r="M77"/>
  <c r="K77"/>
  <c r="I77"/>
  <c r="G77"/>
  <c r="V77"/>
  <c r="T77"/>
  <c r="R77"/>
  <c r="P77"/>
  <c r="N77"/>
  <c r="L77"/>
  <c r="J77"/>
  <c r="H77"/>
  <c r="F77"/>
  <c r="E77"/>
  <c r="D77"/>
  <c r="AB76"/>
  <c r="AA76"/>
  <c r="Z76"/>
  <c r="Y76"/>
  <c r="X76"/>
  <c r="AD77"/>
  <c r="C77" l="1"/>
  <c r="AC75"/>
  <c r="W76"/>
  <c r="U76"/>
  <c r="S76"/>
  <c r="Q76"/>
  <c r="O76"/>
  <c r="M76"/>
  <c r="K76"/>
  <c r="I76"/>
  <c r="G76"/>
  <c r="V76"/>
  <c r="T76"/>
  <c r="R76"/>
  <c r="P76"/>
  <c r="N76"/>
  <c r="L76"/>
  <c r="J76"/>
  <c r="H76"/>
  <c r="F76"/>
  <c r="E76"/>
  <c r="AA75"/>
  <c r="D76"/>
  <c r="AB75"/>
  <c r="Z75"/>
  <c r="Y75"/>
  <c r="X75"/>
  <c r="AD76"/>
  <c r="C76" l="1"/>
  <c r="AC74"/>
  <c r="W75"/>
  <c r="U75"/>
  <c r="S75"/>
  <c r="Q75"/>
  <c r="O75"/>
  <c r="M75"/>
  <c r="K75"/>
  <c r="I75"/>
  <c r="G75"/>
  <c r="V75"/>
  <c r="T75"/>
  <c r="R75"/>
  <c r="P75"/>
  <c r="N75"/>
  <c r="L75"/>
  <c r="J75"/>
  <c r="H75"/>
  <c r="F75"/>
  <c r="E75"/>
  <c r="AA74"/>
  <c r="D75"/>
  <c r="AB74"/>
  <c r="Z74"/>
  <c r="Y74"/>
  <c r="X74"/>
  <c r="AD75"/>
  <c r="C75" l="1"/>
  <c r="AC73"/>
  <c r="W74"/>
  <c r="U74"/>
  <c r="S74"/>
  <c r="Q74"/>
  <c r="O74"/>
  <c r="M74"/>
  <c r="K74"/>
  <c r="I74"/>
  <c r="G74"/>
  <c r="V74"/>
  <c r="T74"/>
  <c r="R74"/>
  <c r="P74"/>
  <c r="N74"/>
  <c r="L74"/>
  <c r="J74"/>
  <c r="H74"/>
  <c r="F74"/>
  <c r="E74"/>
  <c r="AA73"/>
  <c r="D74"/>
  <c r="AB73"/>
  <c r="Z73"/>
  <c r="Y73"/>
  <c r="X73"/>
  <c r="AD74"/>
  <c r="C74" l="1"/>
  <c r="AC72"/>
  <c r="W73"/>
  <c r="U73"/>
  <c r="S73"/>
  <c r="Q73"/>
  <c r="O73"/>
  <c r="M73"/>
  <c r="K73"/>
  <c r="I73"/>
  <c r="G73"/>
  <c r="V73"/>
  <c r="T73"/>
  <c r="R73"/>
  <c r="P73"/>
  <c r="N73"/>
  <c r="L73"/>
  <c r="J73"/>
  <c r="H73"/>
  <c r="F73"/>
  <c r="E73"/>
  <c r="D73"/>
  <c r="AB72"/>
  <c r="AA72"/>
  <c r="Z72"/>
  <c r="Y72"/>
  <c r="X72"/>
  <c r="AD73"/>
  <c r="C73" l="1"/>
  <c r="AC71"/>
  <c r="W72"/>
  <c r="U72"/>
  <c r="S72"/>
  <c r="Q72"/>
  <c r="O72"/>
  <c r="M72"/>
  <c r="K72"/>
  <c r="I72"/>
  <c r="G72"/>
  <c r="N72"/>
  <c r="J72"/>
  <c r="H72"/>
  <c r="V72"/>
  <c r="T72"/>
  <c r="R72"/>
  <c r="P72"/>
  <c r="L72"/>
  <c r="F72"/>
  <c r="E72"/>
  <c r="AA71"/>
  <c r="AB71"/>
  <c r="D72"/>
  <c r="Z71"/>
  <c r="Y71"/>
  <c r="X71"/>
  <c r="AD72"/>
  <c r="C72" l="1"/>
  <c r="AC70"/>
  <c r="W71"/>
  <c r="U71"/>
  <c r="S71"/>
  <c r="Q71"/>
  <c r="O71"/>
  <c r="M71"/>
  <c r="K71"/>
  <c r="I71"/>
  <c r="G71"/>
  <c r="V71"/>
  <c r="T71"/>
  <c r="R71"/>
  <c r="P71"/>
  <c r="N71"/>
  <c r="L71"/>
  <c r="J71"/>
  <c r="H71"/>
  <c r="F71"/>
  <c r="E71"/>
  <c r="AA70"/>
  <c r="D71"/>
  <c r="AB70"/>
  <c r="Z70"/>
  <c r="Y70"/>
  <c r="X70"/>
  <c r="AD71"/>
  <c r="C71" l="1"/>
  <c r="AC69"/>
  <c r="W70"/>
  <c r="U70"/>
  <c r="S70"/>
  <c r="Q70"/>
  <c r="O70"/>
  <c r="M70"/>
  <c r="K70"/>
  <c r="I70"/>
  <c r="G70"/>
  <c r="V70"/>
  <c r="R70"/>
  <c r="P70"/>
  <c r="N70"/>
  <c r="L70"/>
  <c r="J70"/>
  <c r="T70"/>
  <c r="H70"/>
  <c r="F70"/>
  <c r="E70"/>
  <c r="D70"/>
  <c r="AB69"/>
  <c r="AA69"/>
  <c r="Z69"/>
  <c r="Y69"/>
  <c r="X69"/>
  <c r="AD70"/>
  <c r="C70" l="1"/>
  <c r="AC68"/>
  <c r="W69"/>
  <c r="U69"/>
  <c r="S69"/>
  <c r="Q69"/>
  <c r="O69"/>
  <c r="M69"/>
  <c r="K69"/>
  <c r="I69"/>
  <c r="G69"/>
  <c r="J69"/>
  <c r="V69"/>
  <c r="T69"/>
  <c r="R69"/>
  <c r="P69"/>
  <c r="N69"/>
  <c r="L69"/>
  <c r="H69"/>
  <c r="F69"/>
  <c r="E69"/>
  <c r="AA68"/>
  <c r="D69"/>
  <c r="AB68"/>
  <c r="Z68"/>
  <c r="Y68"/>
  <c r="X68"/>
  <c r="AD69"/>
  <c r="C69" l="1"/>
  <c r="AC67"/>
  <c r="W68"/>
  <c r="U68"/>
  <c r="S68"/>
  <c r="Q68"/>
  <c r="O68"/>
  <c r="M68"/>
  <c r="K68"/>
  <c r="I68"/>
  <c r="G68"/>
  <c r="T68"/>
  <c r="R68"/>
  <c r="N68"/>
  <c r="L68"/>
  <c r="J68"/>
  <c r="H68"/>
  <c r="V68"/>
  <c r="P68"/>
  <c r="F68"/>
  <c r="E68"/>
  <c r="D68"/>
  <c r="AB67"/>
  <c r="AA67"/>
  <c r="Z67"/>
  <c r="Y67"/>
  <c r="X67"/>
  <c r="AD68"/>
  <c r="C68" l="1"/>
  <c r="AC66"/>
  <c r="W67"/>
  <c r="U67"/>
  <c r="S67"/>
  <c r="Q67"/>
  <c r="O67"/>
  <c r="M67"/>
  <c r="K67"/>
  <c r="I67"/>
  <c r="G67"/>
  <c r="V67"/>
  <c r="T67"/>
  <c r="R67"/>
  <c r="P67"/>
  <c r="N67"/>
  <c r="L67"/>
  <c r="J67"/>
  <c r="H67"/>
  <c r="F67"/>
  <c r="E67"/>
  <c r="AA66"/>
  <c r="AB66"/>
  <c r="D67"/>
  <c r="Z66"/>
  <c r="Y66"/>
  <c r="X66"/>
  <c r="AD67"/>
  <c r="C67" l="1"/>
  <c r="AC65"/>
  <c r="W66"/>
  <c r="U66"/>
  <c r="S66"/>
  <c r="Q66"/>
  <c r="O66"/>
  <c r="M66"/>
  <c r="K66"/>
  <c r="I66"/>
  <c r="G66"/>
  <c r="R66"/>
  <c r="N66"/>
  <c r="L66"/>
  <c r="H66"/>
  <c r="V66"/>
  <c r="T66"/>
  <c r="P66"/>
  <c r="J66"/>
  <c r="F66"/>
  <c r="E66"/>
  <c r="AA65"/>
  <c r="D66"/>
  <c r="AB65"/>
  <c r="Z65"/>
  <c r="Y65"/>
  <c r="X65"/>
  <c r="AD66"/>
  <c r="C66" l="1"/>
  <c r="AC64"/>
  <c r="W65"/>
  <c r="U65"/>
  <c r="S65"/>
  <c r="Q65"/>
  <c r="O65"/>
  <c r="M65"/>
  <c r="K65"/>
  <c r="I65"/>
  <c r="G65"/>
  <c r="T65"/>
  <c r="R65"/>
  <c r="P65"/>
  <c r="N65"/>
  <c r="J65"/>
  <c r="H65"/>
  <c r="V65"/>
  <c r="L65"/>
  <c r="F65"/>
  <c r="E65"/>
  <c r="D65"/>
  <c r="AB64"/>
  <c r="AA64"/>
  <c r="Z64"/>
  <c r="Y64"/>
  <c r="X64"/>
  <c r="AD65"/>
  <c r="C65" l="1"/>
  <c r="AC63"/>
  <c r="W64"/>
  <c r="U64"/>
  <c r="S64"/>
  <c r="Q64"/>
  <c r="O64"/>
  <c r="M64"/>
  <c r="K64"/>
  <c r="I64"/>
  <c r="G64"/>
  <c r="V64"/>
  <c r="T64"/>
  <c r="R64"/>
  <c r="P64"/>
  <c r="N64"/>
  <c r="L64"/>
  <c r="J64"/>
  <c r="H64"/>
  <c r="F64"/>
  <c r="E64"/>
  <c r="D64"/>
  <c r="AB63"/>
  <c r="AA63"/>
  <c r="Z63"/>
  <c r="Y63"/>
  <c r="X63"/>
  <c r="AD64"/>
  <c r="C64" l="1"/>
  <c r="AC62"/>
  <c r="W63"/>
  <c r="U63"/>
  <c r="S63"/>
  <c r="Q63"/>
  <c r="O63"/>
  <c r="M63"/>
  <c r="K63"/>
  <c r="I63"/>
  <c r="G63"/>
  <c r="R63"/>
  <c r="N63"/>
  <c r="L63"/>
  <c r="H63"/>
  <c r="V63"/>
  <c r="T63"/>
  <c r="P63"/>
  <c r="J63"/>
  <c r="F63"/>
  <c r="E63"/>
  <c r="AA62"/>
  <c r="D63"/>
  <c r="AB62"/>
  <c r="Z62"/>
  <c r="Y62"/>
  <c r="X62"/>
  <c r="AD63"/>
  <c r="C63" l="1"/>
  <c r="AC61"/>
  <c r="W62"/>
  <c r="U62"/>
  <c r="S62"/>
  <c r="Q62"/>
  <c r="O62"/>
  <c r="M62"/>
  <c r="K62"/>
  <c r="I62"/>
  <c r="G62"/>
  <c r="H62"/>
  <c r="V62"/>
  <c r="T62"/>
  <c r="R62"/>
  <c r="P62"/>
  <c r="N62"/>
  <c r="L62"/>
  <c r="J62"/>
  <c r="F62"/>
  <c r="E62"/>
  <c r="D62"/>
  <c r="AB61"/>
  <c r="AA61"/>
  <c r="Z61"/>
  <c r="Y61"/>
  <c r="X61"/>
  <c r="AD62"/>
  <c r="C62" l="1"/>
  <c r="AC60"/>
  <c r="W61"/>
  <c r="U61"/>
  <c r="S61"/>
  <c r="Q61"/>
  <c r="O61"/>
  <c r="M61"/>
  <c r="K61"/>
  <c r="I61"/>
  <c r="G61"/>
  <c r="V61"/>
  <c r="T61"/>
  <c r="R61"/>
  <c r="P61"/>
  <c r="N61"/>
  <c r="L61"/>
  <c r="J61"/>
  <c r="H61"/>
  <c r="F61"/>
  <c r="E61"/>
  <c r="AA60"/>
  <c r="D61"/>
  <c r="AB60"/>
  <c r="Z60"/>
  <c r="Y60"/>
  <c r="X60"/>
  <c r="AD61"/>
  <c r="C61" l="1"/>
  <c r="AC59"/>
  <c r="W60"/>
  <c r="U60"/>
  <c r="S60"/>
  <c r="Q60"/>
  <c r="O60"/>
  <c r="M60"/>
  <c r="K60"/>
  <c r="I60"/>
  <c r="G60"/>
  <c r="V60"/>
  <c r="T60"/>
  <c r="R60"/>
  <c r="P60"/>
  <c r="N60"/>
  <c r="L60"/>
  <c r="J60"/>
  <c r="H60"/>
  <c r="F60"/>
  <c r="E60"/>
  <c r="D60"/>
  <c r="AB59"/>
  <c r="AA59"/>
  <c r="Z59"/>
  <c r="Y59"/>
  <c r="X59"/>
  <c r="AD60"/>
  <c r="C60" l="1"/>
  <c r="AC58"/>
  <c r="W59"/>
  <c r="U59"/>
  <c r="S59"/>
  <c r="Q59"/>
  <c r="O59"/>
  <c r="M59"/>
  <c r="K59"/>
  <c r="I59"/>
  <c r="G59"/>
  <c r="V59"/>
  <c r="R59"/>
  <c r="P59"/>
  <c r="N59"/>
  <c r="L59"/>
  <c r="H59"/>
  <c r="T59"/>
  <c r="J59"/>
  <c r="F59"/>
  <c r="E59"/>
  <c r="AA58"/>
  <c r="D59"/>
  <c r="AB58"/>
  <c r="Z58"/>
  <c r="Y58"/>
  <c r="X58"/>
  <c r="AD59"/>
  <c r="C59" l="1"/>
  <c r="AC57"/>
  <c r="W58"/>
  <c r="U58"/>
  <c r="S58"/>
  <c r="Q58"/>
  <c r="O58"/>
  <c r="M58"/>
  <c r="K58"/>
  <c r="I58"/>
  <c r="G58"/>
  <c r="L58"/>
  <c r="H58"/>
  <c r="V58"/>
  <c r="T58"/>
  <c r="R58"/>
  <c r="P58"/>
  <c r="N58"/>
  <c r="J58"/>
  <c r="F58"/>
  <c r="E58"/>
  <c r="D58"/>
  <c r="AB57"/>
  <c r="AA57"/>
  <c r="Z57"/>
  <c r="Y57"/>
  <c r="X57"/>
  <c r="AD58"/>
  <c r="C58" l="1"/>
  <c r="AC56"/>
  <c r="W57"/>
  <c r="U57"/>
  <c r="S57"/>
  <c r="Q57"/>
  <c r="O57"/>
  <c r="M57"/>
  <c r="K57"/>
  <c r="I57"/>
  <c r="G57"/>
  <c r="V57"/>
  <c r="T57"/>
  <c r="R57"/>
  <c r="P57"/>
  <c r="N57"/>
  <c r="L57"/>
  <c r="J57"/>
  <c r="H57"/>
  <c r="F57"/>
  <c r="E57"/>
  <c r="AA56"/>
  <c r="D57"/>
  <c r="AB56"/>
  <c r="Z56"/>
  <c r="Y56"/>
  <c r="X56"/>
  <c r="AD57"/>
  <c r="C57" l="1"/>
  <c r="AC55"/>
  <c r="W56"/>
  <c r="U56"/>
  <c r="S56"/>
  <c r="Q56"/>
  <c r="O56"/>
  <c r="M56"/>
  <c r="K56"/>
  <c r="I56"/>
  <c r="G56"/>
  <c r="V56"/>
  <c r="T56"/>
  <c r="R56"/>
  <c r="P56"/>
  <c r="N56"/>
  <c r="L56"/>
  <c r="J56"/>
  <c r="H56"/>
  <c r="F56"/>
  <c r="E56"/>
  <c r="AA55"/>
  <c r="D56"/>
  <c r="AB55"/>
  <c r="Z55"/>
  <c r="Y55"/>
  <c r="X55"/>
  <c r="AD56"/>
  <c r="C56" l="1"/>
  <c r="AC54"/>
  <c r="W55"/>
  <c r="U55"/>
  <c r="S55"/>
  <c r="Q55"/>
  <c r="O55"/>
  <c r="M55"/>
  <c r="K55"/>
  <c r="I55"/>
  <c r="G55"/>
  <c r="V55"/>
  <c r="T55"/>
  <c r="R55"/>
  <c r="P55"/>
  <c r="N55"/>
  <c r="L55"/>
  <c r="J55"/>
  <c r="H55"/>
  <c r="F55"/>
  <c r="E55"/>
  <c r="AA54"/>
  <c r="D55"/>
  <c r="AB54"/>
  <c r="Z54"/>
  <c r="Y54"/>
  <c r="X54"/>
  <c r="AD55"/>
  <c r="C55" l="1"/>
  <c r="AC53"/>
  <c r="W54"/>
  <c r="U54"/>
  <c r="S54"/>
  <c r="Q54"/>
  <c r="O54"/>
  <c r="M54"/>
  <c r="K54"/>
  <c r="I54"/>
  <c r="G54"/>
  <c r="V54"/>
  <c r="T54"/>
  <c r="R54"/>
  <c r="P54"/>
  <c r="N54"/>
  <c r="L54"/>
  <c r="J54"/>
  <c r="H54"/>
  <c r="F54"/>
  <c r="E54"/>
  <c r="D54"/>
  <c r="AB53"/>
  <c r="AA53"/>
  <c r="Z53"/>
  <c r="Y53"/>
  <c r="X53"/>
  <c r="AD54"/>
  <c r="C54" l="1"/>
  <c r="AC52"/>
  <c r="W53"/>
  <c r="U53"/>
  <c r="S53"/>
  <c r="Q53"/>
  <c r="O53"/>
  <c r="M53"/>
  <c r="K53"/>
  <c r="I53"/>
  <c r="G53"/>
  <c r="V53"/>
  <c r="T53"/>
  <c r="R53"/>
  <c r="P53"/>
  <c r="N53"/>
  <c r="L53"/>
  <c r="J53"/>
  <c r="H53"/>
  <c r="F53"/>
  <c r="E53"/>
  <c r="AA52"/>
  <c r="D53"/>
  <c r="AB52"/>
  <c r="Z52"/>
  <c r="Y52"/>
  <c r="X52"/>
  <c r="AD53"/>
  <c r="C53" l="1"/>
  <c r="AC51"/>
  <c r="W52"/>
  <c r="U52"/>
  <c r="S52"/>
  <c r="Q52"/>
  <c r="O52"/>
  <c r="M52"/>
  <c r="K52"/>
  <c r="I52"/>
  <c r="G52"/>
  <c r="V52"/>
  <c r="T52"/>
  <c r="R52"/>
  <c r="P52"/>
  <c r="N52"/>
  <c r="L52"/>
  <c r="J52"/>
  <c r="H52"/>
  <c r="F52"/>
  <c r="E52"/>
  <c r="D52"/>
  <c r="AB51"/>
  <c r="AA51"/>
  <c r="Z51"/>
  <c r="Y51"/>
  <c r="X51"/>
  <c r="AD52"/>
  <c r="C52" l="1"/>
  <c r="AC50"/>
  <c r="W51"/>
  <c r="U51"/>
  <c r="S51"/>
  <c r="Q51"/>
  <c r="O51"/>
  <c r="M51"/>
  <c r="K51"/>
  <c r="I51"/>
  <c r="G51"/>
  <c r="V51"/>
  <c r="T51"/>
  <c r="R51"/>
  <c r="P51"/>
  <c r="N51"/>
  <c r="L51"/>
  <c r="J51"/>
  <c r="H51"/>
  <c r="F51"/>
  <c r="E51"/>
  <c r="D51"/>
  <c r="AB50"/>
  <c r="AA50"/>
  <c r="Z50"/>
  <c r="Y50"/>
  <c r="X50"/>
  <c r="AD51"/>
  <c r="C51" l="1"/>
  <c r="AC49"/>
  <c r="W50"/>
  <c r="U50"/>
  <c r="S50"/>
  <c r="Q50"/>
  <c r="O50"/>
  <c r="M50"/>
  <c r="K50"/>
  <c r="I50"/>
  <c r="G50"/>
  <c r="V50"/>
  <c r="T50"/>
  <c r="R50"/>
  <c r="P50"/>
  <c r="N50"/>
  <c r="L50"/>
  <c r="J50"/>
  <c r="H50"/>
  <c r="F50"/>
  <c r="E50"/>
  <c r="D50"/>
  <c r="AB49"/>
  <c r="AA49"/>
  <c r="Z49"/>
  <c r="Y49"/>
  <c r="X49"/>
  <c r="AD50"/>
  <c r="C50" l="1"/>
  <c r="AC48"/>
  <c r="W49"/>
  <c r="U49"/>
  <c r="S49"/>
  <c r="Q49"/>
  <c r="O49"/>
  <c r="M49"/>
  <c r="K49"/>
  <c r="I49"/>
  <c r="G49"/>
  <c r="V49"/>
  <c r="T49"/>
  <c r="R49"/>
  <c r="P49"/>
  <c r="N49"/>
  <c r="L49"/>
  <c r="J49"/>
  <c r="H49"/>
  <c r="F49"/>
  <c r="E49"/>
  <c r="AA48"/>
  <c r="D49"/>
  <c r="AB48"/>
  <c r="Z48"/>
  <c r="Y48"/>
  <c r="X48"/>
  <c r="AD49"/>
  <c r="C49" l="1"/>
  <c r="AC47"/>
  <c r="W48"/>
  <c r="U48"/>
  <c r="S48"/>
  <c r="Q48"/>
  <c r="O48"/>
  <c r="M48"/>
  <c r="K48"/>
  <c r="I48"/>
  <c r="G48"/>
  <c r="V48"/>
  <c r="T48"/>
  <c r="R48"/>
  <c r="P48"/>
  <c r="N48"/>
  <c r="L48"/>
  <c r="J48"/>
  <c r="H48"/>
  <c r="F48"/>
  <c r="E48"/>
  <c r="D48"/>
  <c r="AB47"/>
  <c r="AA47"/>
  <c r="Z47"/>
  <c r="Y47"/>
  <c r="X47"/>
  <c r="AD48"/>
  <c r="C48" l="1"/>
  <c r="AC46"/>
  <c r="W47"/>
  <c r="U47"/>
  <c r="S47"/>
  <c r="Q47"/>
  <c r="O47"/>
  <c r="M47"/>
  <c r="K47"/>
  <c r="I47"/>
  <c r="G47"/>
  <c r="V47"/>
  <c r="T47"/>
  <c r="R47"/>
  <c r="P47"/>
  <c r="N47"/>
  <c r="L47"/>
  <c r="J47"/>
  <c r="H47"/>
  <c r="F47"/>
  <c r="E47"/>
  <c r="AA46"/>
  <c r="D47"/>
  <c r="AB46"/>
  <c r="Z46"/>
  <c r="Y46"/>
  <c r="X46"/>
  <c r="AD47"/>
  <c r="C47" l="1"/>
  <c r="AC45"/>
  <c r="W46"/>
  <c r="U46"/>
  <c r="S46"/>
  <c r="Q46"/>
  <c r="O46"/>
  <c r="M46"/>
  <c r="K46"/>
  <c r="I46"/>
  <c r="G46"/>
  <c r="V46"/>
  <c r="T46"/>
  <c r="R46"/>
  <c r="P46"/>
  <c r="L46"/>
  <c r="J46"/>
  <c r="H46"/>
  <c r="N46"/>
  <c r="F46"/>
  <c r="E46"/>
  <c r="AA45"/>
  <c r="D46"/>
  <c r="AB45"/>
  <c r="Z45"/>
  <c r="Y45"/>
  <c r="X45"/>
  <c r="AD46"/>
  <c r="C46" l="1"/>
  <c r="AC44"/>
  <c r="W45"/>
  <c r="U45"/>
  <c r="S45"/>
  <c r="Q45"/>
  <c r="O45"/>
  <c r="M45"/>
  <c r="K45"/>
  <c r="I45"/>
  <c r="G45"/>
  <c r="V45"/>
  <c r="T45"/>
  <c r="R45"/>
  <c r="P45"/>
  <c r="N45"/>
  <c r="L45"/>
  <c r="J45"/>
  <c r="H45"/>
  <c r="F45"/>
  <c r="E45"/>
  <c r="AA44"/>
  <c r="D45"/>
  <c r="AB44"/>
  <c r="Z44"/>
  <c r="Y44"/>
  <c r="X44"/>
  <c r="AD45"/>
  <c r="C45" l="1"/>
  <c r="AC43"/>
  <c r="W44"/>
  <c r="U44"/>
  <c r="S44"/>
  <c r="Q44"/>
  <c r="O44"/>
  <c r="M44"/>
  <c r="K44"/>
  <c r="I44"/>
  <c r="G44"/>
  <c r="V44"/>
  <c r="T44"/>
  <c r="R44"/>
  <c r="P44"/>
  <c r="N44"/>
  <c r="L44"/>
  <c r="J44"/>
  <c r="H44"/>
  <c r="F44"/>
  <c r="E44"/>
  <c r="AA43"/>
  <c r="AB43"/>
  <c r="D44"/>
  <c r="Z43"/>
  <c r="Y43"/>
  <c r="X43"/>
  <c r="AD44"/>
  <c r="C44" l="1"/>
  <c r="AC42"/>
  <c r="W43"/>
  <c r="U43"/>
  <c r="S43"/>
  <c r="Q43"/>
  <c r="O43"/>
  <c r="M43"/>
  <c r="K43"/>
  <c r="I43"/>
  <c r="G43"/>
  <c r="V43"/>
  <c r="T43"/>
  <c r="R43"/>
  <c r="P43"/>
  <c r="N43"/>
  <c r="L43"/>
  <c r="J43"/>
  <c r="H43"/>
  <c r="F43"/>
  <c r="E43"/>
  <c r="D43"/>
  <c r="AB42"/>
  <c r="AA42"/>
  <c r="Z42"/>
  <c r="Y42"/>
  <c r="X42"/>
  <c r="AD43"/>
  <c r="C43" l="1"/>
  <c r="AC41"/>
  <c r="W42"/>
  <c r="U42"/>
  <c r="S42"/>
  <c r="Q42"/>
  <c r="O42"/>
  <c r="M42"/>
  <c r="K42"/>
  <c r="I42"/>
  <c r="G42"/>
  <c r="V42"/>
  <c r="T42"/>
  <c r="R42"/>
  <c r="P42"/>
  <c r="N42"/>
  <c r="L42"/>
  <c r="J42"/>
  <c r="H42"/>
  <c r="F42"/>
  <c r="E42"/>
  <c r="D42"/>
  <c r="AB41"/>
  <c r="AA41"/>
  <c r="Z41"/>
  <c r="Y41"/>
  <c r="X41"/>
  <c r="AD42"/>
  <c r="C42" l="1"/>
  <c r="AC40"/>
  <c r="W41"/>
  <c r="U41"/>
  <c r="S41"/>
  <c r="Q41"/>
  <c r="O41"/>
  <c r="M41"/>
  <c r="K41"/>
  <c r="I41"/>
  <c r="G41"/>
  <c r="V41"/>
  <c r="T41"/>
  <c r="R41"/>
  <c r="P41"/>
  <c r="N41"/>
  <c r="L41"/>
  <c r="J41"/>
  <c r="H41"/>
  <c r="F41"/>
  <c r="E41"/>
  <c r="AA40"/>
  <c r="D41"/>
  <c r="AB40"/>
  <c r="Z40"/>
  <c r="Y40"/>
  <c r="X40"/>
  <c r="AD41"/>
  <c r="C41" l="1"/>
  <c r="AC39"/>
  <c r="V40"/>
  <c r="T40"/>
  <c r="R40"/>
  <c r="P40"/>
  <c r="N40"/>
  <c r="L40"/>
  <c r="J40"/>
  <c r="H40"/>
  <c r="W40"/>
  <c r="U40"/>
  <c r="S40"/>
  <c r="Q40"/>
  <c r="O40"/>
  <c r="M40"/>
  <c r="K40"/>
  <c r="I40"/>
  <c r="G40"/>
  <c r="F40"/>
  <c r="E40"/>
  <c r="AA39"/>
  <c r="AB39"/>
  <c r="D40"/>
  <c r="Z39"/>
  <c r="Y39"/>
  <c r="X39"/>
  <c r="AD40"/>
  <c r="C40" l="1"/>
  <c r="AC38"/>
  <c r="W39"/>
  <c r="U39"/>
  <c r="S39"/>
  <c r="Q39"/>
  <c r="O39"/>
  <c r="M39"/>
  <c r="K39"/>
  <c r="I39"/>
  <c r="G39"/>
  <c r="V39"/>
  <c r="T39"/>
  <c r="R39"/>
  <c r="P39"/>
  <c r="N39"/>
  <c r="L39"/>
  <c r="J39"/>
  <c r="H39"/>
  <c r="F39"/>
  <c r="E39"/>
  <c r="D39"/>
  <c r="AB38"/>
  <c r="AA38"/>
  <c r="Z38"/>
  <c r="Y38"/>
  <c r="X38"/>
  <c r="AD39"/>
  <c r="C39" l="1"/>
  <c r="AC37"/>
  <c r="W38"/>
  <c r="U38"/>
  <c r="S38"/>
  <c r="Q38"/>
  <c r="O38"/>
  <c r="M38"/>
  <c r="K38"/>
  <c r="I38"/>
  <c r="G38"/>
  <c r="V38"/>
  <c r="T38"/>
  <c r="R38"/>
  <c r="P38"/>
  <c r="N38"/>
  <c r="L38"/>
  <c r="J38"/>
  <c r="H38"/>
  <c r="F38"/>
  <c r="E38"/>
  <c r="D38"/>
  <c r="AB37"/>
  <c r="AA37"/>
  <c r="Z37"/>
  <c r="Y37"/>
  <c r="X37"/>
  <c r="AD38"/>
  <c r="C38" l="1"/>
  <c r="AC36"/>
  <c r="W37"/>
  <c r="U37"/>
  <c r="S37"/>
  <c r="Q37"/>
  <c r="O37"/>
  <c r="M37"/>
  <c r="K37"/>
  <c r="I37"/>
  <c r="G37"/>
  <c r="V37"/>
  <c r="T37"/>
  <c r="R37"/>
  <c r="P37"/>
  <c r="N37"/>
  <c r="L37"/>
  <c r="J37"/>
  <c r="H37"/>
  <c r="F37"/>
  <c r="E37"/>
  <c r="D37"/>
  <c r="AB36"/>
  <c r="AA36"/>
  <c r="Z36"/>
  <c r="Y36"/>
  <c r="X36"/>
  <c r="AD37"/>
  <c r="C37" l="1"/>
  <c r="AC35"/>
  <c r="W36"/>
  <c r="U36"/>
  <c r="S36"/>
  <c r="Q36"/>
  <c r="O36"/>
  <c r="M36"/>
  <c r="K36"/>
  <c r="I36"/>
  <c r="G36"/>
  <c r="V36"/>
  <c r="T36"/>
  <c r="R36"/>
  <c r="P36"/>
  <c r="N36"/>
  <c r="L36"/>
  <c r="J36"/>
  <c r="H36"/>
  <c r="F36"/>
  <c r="E36"/>
  <c r="D36"/>
  <c r="AB35"/>
  <c r="AA35"/>
  <c r="Z35"/>
  <c r="Y35"/>
  <c r="X35"/>
  <c r="AD36"/>
  <c r="C36" l="1"/>
  <c r="AC34"/>
  <c r="W35"/>
  <c r="U35"/>
  <c r="S35"/>
  <c r="Q35"/>
  <c r="O35"/>
  <c r="M35"/>
  <c r="K35"/>
  <c r="I35"/>
  <c r="G35"/>
  <c r="V35"/>
  <c r="T35"/>
  <c r="R35"/>
  <c r="P35"/>
  <c r="N35"/>
  <c r="L35"/>
  <c r="J35"/>
  <c r="H35"/>
  <c r="F35"/>
  <c r="E35"/>
  <c r="AA34"/>
  <c r="D35"/>
  <c r="AB34"/>
  <c r="Z34"/>
  <c r="Y34"/>
  <c r="X34"/>
  <c r="AD35"/>
  <c r="C35" l="1"/>
  <c r="AC33"/>
  <c r="W34"/>
  <c r="U34"/>
  <c r="S34"/>
  <c r="Q34"/>
  <c r="O34"/>
  <c r="M34"/>
  <c r="K34"/>
  <c r="I34"/>
  <c r="G34"/>
  <c r="V34"/>
  <c r="T34"/>
  <c r="R34"/>
  <c r="P34"/>
  <c r="N34"/>
  <c r="L34"/>
  <c r="J34"/>
  <c r="H34"/>
  <c r="F34"/>
  <c r="E34"/>
  <c r="D34"/>
  <c r="AB33"/>
  <c r="AA33"/>
  <c r="Z33"/>
  <c r="Y33"/>
  <c r="X33"/>
  <c r="AD34"/>
  <c r="C34" l="1"/>
  <c r="AC32"/>
  <c r="W33"/>
  <c r="U33"/>
  <c r="S33"/>
  <c r="Q33"/>
  <c r="O33"/>
  <c r="M33"/>
  <c r="K33"/>
  <c r="I33"/>
  <c r="G33"/>
  <c r="V33"/>
  <c r="T33"/>
  <c r="R33"/>
  <c r="P33"/>
  <c r="N33"/>
  <c r="L33"/>
  <c r="J33"/>
  <c r="H33"/>
  <c r="F33"/>
  <c r="E33"/>
  <c r="AA32"/>
  <c r="D33"/>
  <c r="AB32"/>
  <c r="Z32"/>
  <c r="Y32"/>
  <c r="X32"/>
  <c r="AD33"/>
  <c r="C33" l="1"/>
  <c r="AC31"/>
  <c r="W32"/>
  <c r="U32"/>
  <c r="S32"/>
  <c r="Q32"/>
  <c r="O32"/>
  <c r="M32"/>
  <c r="K32"/>
  <c r="I32"/>
  <c r="G32"/>
  <c r="V32"/>
  <c r="T32"/>
  <c r="R32"/>
  <c r="P32"/>
  <c r="N32"/>
  <c r="L32"/>
  <c r="J32"/>
  <c r="H32"/>
  <c r="F32"/>
  <c r="E32"/>
  <c r="AA31"/>
  <c r="D32"/>
  <c r="AB31"/>
  <c r="Z31"/>
  <c r="Y31"/>
  <c r="X31"/>
  <c r="AD32"/>
  <c r="C32" l="1"/>
  <c r="AC30"/>
  <c r="W31"/>
  <c r="U31"/>
  <c r="S31"/>
  <c r="Q31"/>
  <c r="O31"/>
  <c r="M31"/>
  <c r="K31"/>
  <c r="I31"/>
  <c r="G31"/>
  <c r="T31"/>
  <c r="R31"/>
  <c r="P31"/>
  <c r="N31"/>
  <c r="J31"/>
  <c r="H31"/>
  <c r="V31"/>
  <c r="L31"/>
  <c r="F31"/>
  <c r="E31"/>
  <c r="D31"/>
  <c r="AB30"/>
  <c r="AA30"/>
  <c r="Z30"/>
  <c r="Y30"/>
  <c r="X30"/>
  <c r="AD31"/>
  <c r="C31" l="1"/>
  <c r="AC29"/>
  <c r="W30"/>
  <c r="U30"/>
  <c r="S30"/>
  <c r="Q30"/>
  <c r="O30"/>
  <c r="M30"/>
  <c r="K30"/>
  <c r="I30"/>
  <c r="G30"/>
  <c r="T30"/>
  <c r="P30"/>
  <c r="N30"/>
  <c r="J30"/>
  <c r="H30"/>
  <c r="V30"/>
  <c r="R30"/>
  <c r="L30"/>
  <c r="F30"/>
  <c r="E30"/>
  <c r="D30"/>
  <c r="AB29"/>
  <c r="AA29"/>
  <c r="Z29"/>
  <c r="Y29"/>
  <c r="X29"/>
  <c r="AD30"/>
  <c r="C30" l="1"/>
  <c r="AC28"/>
  <c r="W29"/>
  <c r="U29"/>
  <c r="S29"/>
  <c r="Q29"/>
  <c r="O29"/>
  <c r="M29"/>
  <c r="K29"/>
  <c r="I29"/>
  <c r="G29"/>
  <c r="V29"/>
  <c r="T29"/>
  <c r="R29"/>
  <c r="P29"/>
  <c r="N29"/>
  <c r="L29"/>
  <c r="J29"/>
  <c r="H29"/>
  <c r="F29"/>
  <c r="E29"/>
  <c r="AA28"/>
  <c r="D29"/>
  <c r="AB28"/>
  <c r="Z28"/>
  <c r="Y28"/>
  <c r="X28"/>
  <c r="AD29"/>
  <c r="C29" l="1"/>
  <c r="AC27"/>
  <c r="W28"/>
  <c r="U28"/>
  <c r="S28"/>
  <c r="Q28"/>
  <c r="O28"/>
  <c r="M28"/>
  <c r="K28"/>
  <c r="I28"/>
  <c r="G28"/>
  <c r="V28"/>
  <c r="T28"/>
  <c r="R28"/>
  <c r="P28"/>
  <c r="N28"/>
  <c r="L28"/>
  <c r="J28"/>
  <c r="H28"/>
  <c r="F28"/>
  <c r="E28"/>
  <c r="AA27"/>
  <c r="D28"/>
  <c r="AB27"/>
  <c r="Z27"/>
  <c r="Y27"/>
  <c r="X27"/>
  <c r="AD28"/>
  <c r="C28" l="1"/>
  <c r="AC26"/>
  <c r="W27"/>
  <c r="U27"/>
  <c r="S27"/>
  <c r="Q27"/>
  <c r="O27"/>
  <c r="M27"/>
  <c r="K27"/>
  <c r="I27"/>
  <c r="G27"/>
  <c r="T27"/>
  <c r="R27"/>
  <c r="N27"/>
  <c r="L27"/>
  <c r="H27"/>
  <c r="V27"/>
  <c r="P27"/>
  <c r="J27"/>
  <c r="F27"/>
  <c r="E27"/>
  <c r="AA26"/>
  <c r="D27"/>
  <c r="AB26"/>
  <c r="Z26"/>
  <c r="Y26"/>
  <c r="X26"/>
  <c r="AD27"/>
  <c r="C27" l="1"/>
  <c r="AC25"/>
  <c r="W26"/>
  <c r="U26"/>
  <c r="S26"/>
  <c r="Q26"/>
  <c r="O26"/>
  <c r="M26"/>
  <c r="K26"/>
  <c r="I26"/>
  <c r="G26"/>
  <c r="V26"/>
  <c r="T26"/>
  <c r="R26"/>
  <c r="P26"/>
  <c r="N26"/>
  <c r="L26"/>
  <c r="J26"/>
  <c r="H26"/>
  <c r="F26"/>
  <c r="E26"/>
  <c r="AA25"/>
  <c r="D26"/>
  <c r="AB25"/>
  <c r="Z25"/>
  <c r="Y25"/>
  <c r="X25"/>
  <c r="AD26"/>
  <c r="C26" l="1"/>
  <c r="AC24"/>
  <c r="W25"/>
  <c r="U25"/>
  <c r="S25"/>
  <c r="Q25"/>
  <c r="O25"/>
  <c r="M25"/>
  <c r="K25"/>
  <c r="I25"/>
  <c r="G25"/>
  <c r="V25"/>
  <c r="T25"/>
  <c r="R25"/>
  <c r="P25"/>
  <c r="N25"/>
  <c r="L25"/>
  <c r="J25"/>
  <c r="H25"/>
  <c r="F25"/>
  <c r="E25"/>
  <c r="AA24"/>
  <c r="AB24"/>
  <c r="D25"/>
  <c r="Z24"/>
  <c r="Y24"/>
  <c r="X24"/>
  <c r="AD25"/>
  <c r="C25" l="1"/>
  <c r="AC23"/>
  <c r="W24"/>
  <c r="U24"/>
  <c r="S24"/>
  <c r="Q24"/>
  <c r="O24"/>
  <c r="M24"/>
  <c r="K24"/>
  <c r="I24"/>
  <c r="G24"/>
  <c r="V24"/>
  <c r="T24"/>
  <c r="R24"/>
  <c r="P24"/>
  <c r="N24"/>
  <c r="L24"/>
  <c r="J24"/>
  <c r="H24"/>
  <c r="F24"/>
  <c r="E24"/>
  <c r="AA23"/>
  <c r="D24"/>
  <c r="AB23"/>
  <c r="Z23"/>
  <c r="Y23"/>
  <c r="X23"/>
  <c r="AD24"/>
  <c r="C24" l="1"/>
  <c r="AC22"/>
  <c r="W23"/>
  <c r="U23"/>
  <c r="S23"/>
  <c r="Q23"/>
  <c r="O23"/>
  <c r="M23"/>
  <c r="K23"/>
  <c r="I23"/>
  <c r="G23"/>
  <c r="V23"/>
  <c r="T23"/>
  <c r="R23"/>
  <c r="P23"/>
  <c r="N23"/>
  <c r="L23"/>
  <c r="J23"/>
  <c r="H23"/>
  <c r="F23"/>
  <c r="E23"/>
  <c r="D23"/>
  <c r="AB22"/>
  <c r="AA22"/>
  <c r="Z22"/>
  <c r="Y22"/>
  <c r="X22"/>
  <c r="AD23"/>
  <c r="C23" l="1"/>
  <c r="AC21"/>
  <c r="W22"/>
  <c r="U22"/>
  <c r="S22"/>
  <c r="Q22"/>
  <c r="O22"/>
  <c r="M22"/>
  <c r="K22"/>
  <c r="I22"/>
  <c r="G22"/>
  <c r="V22"/>
  <c r="T22"/>
  <c r="R22"/>
  <c r="P22"/>
  <c r="N22"/>
  <c r="L22"/>
  <c r="J22"/>
  <c r="H22"/>
  <c r="F22"/>
  <c r="E22"/>
  <c r="D22"/>
  <c r="AB21"/>
  <c r="AA21"/>
  <c r="Z21"/>
  <c r="Y21"/>
  <c r="X21"/>
  <c r="AD22"/>
  <c r="C22" l="1"/>
  <c r="AC20"/>
  <c r="W21"/>
  <c r="U21"/>
  <c r="S21"/>
  <c r="Q21"/>
  <c r="O21"/>
  <c r="M21"/>
  <c r="K21"/>
  <c r="I21"/>
  <c r="G21"/>
  <c r="V21"/>
  <c r="T21"/>
  <c r="R21"/>
  <c r="P21"/>
  <c r="N21"/>
  <c r="L21"/>
  <c r="J21"/>
  <c r="H21"/>
  <c r="F21"/>
  <c r="E21"/>
  <c r="D21"/>
  <c r="AB20"/>
  <c r="AA20"/>
  <c r="Z20"/>
  <c r="Y20"/>
  <c r="X20"/>
  <c r="AD21"/>
  <c r="C21" l="1"/>
  <c r="AC19"/>
  <c r="W20"/>
  <c r="U20"/>
  <c r="S20"/>
  <c r="Q20"/>
  <c r="O20"/>
  <c r="M20"/>
  <c r="K20"/>
  <c r="I20"/>
  <c r="G20"/>
  <c r="V20"/>
  <c r="T20"/>
  <c r="R20"/>
  <c r="P20"/>
  <c r="N20"/>
  <c r="L20"/>
  <c r="J20"/>
  <c r="H20"/>
  <c r="F20"/>
  <c r="E20"/>
  <c r="AA19"/>
  <c r="D20"/>
  <c r="AB19"/>
  <c r="Z19"/>
  <c r="Y19"/>
  <c r="X19"/>
  <c r="AD20"/>
  <c r="C20" l="1"/>
  <c r="AC18"/>
  <c r="W19"/>
  <c r="U19"/>
  <c r="S19"/>
  <c r="Q19"/>
  <c r="O19"/>
  <c r="M19"/>
  <c r="K19"/>
  <c r="I19"/>
  <c r="G19"/>
  <c r="V19"/>
  <c r="T19"/>
  <c r="R19"/>
  <c r="P19"/>
  <c r="N19"/>
  <c r="L19"/>
  <c r="J19"/>
  <c r="H19"/>
  <c r="F19"/>
  <c r="E19"/>
  <c r="AA18"/>
  <c r="D19"/>
  <c r="AB18"/>
  <c r="Z18"/>
  <c r="Y18"/>
  <c r="X18"/>
  <c r="AD19"/>
  <c r="C19" l="1"/>
  <c r="AC17"/>
  <c r="W18"/>
  <c r="U18"/>
  <c r="S18"/>
  <c r="Q18"/>
  <c r="O18"/>
  <c r="M18"/>
  <c r="K18"/>
  <c r="I18"/>
  <c r="G18"/>
  <c r="V18"/>
  <c r="T18"/>
  <c r="R18"/>
  <c r="P18"/>
  <c r="N18"/>
  <c r="L18"/>
  <c r="J18"/>
  <c r="H18"/>
  <c r="F18"/>
  <c r="E18"/>
  <c r="AA17"/>
  <c r="D18"/>
  <c r="AB17"/>
  <c r="Z17"/>
  <c r="Y17"/>
  <c r="X17"/>
  <c r="AD18"/>
  <c r="C18" l="1"/>
  <c r="AC16"/>
  <c r="W17"/>
  <c r="U17"/>
  <c r="S17"/>
  <c r="Q17"/>
  <c r="O17"/>
  <c r="M17"/>
  <c r="K17"/>
  <c r="I17"/>
  <c r="G17"/>
  <c r="V17"/>
  <c r="R17"/>
  <c r="P17"/>
  <c r="L17"/>
  <c r="J17"/>
  <c r="H17"/>
  <c r="T17"/>
  <c r="N17"/>
  <c r="F17"/>
  <c r="E17"/>
  <c r="D17"/>
  <c r="AB16"/>
  <c r="AA16"/>
  <c r="Z16"/>
  <c r="Y16"/>
  <c r="X16"/>
  <c r="AD17"/>
  <c r="C17" l="1"/>
  <c r="AC15"/>
  <c r="W16"/>
  <c r="U16"/>
  <c r="S16"/>
  <c r="Q16"/>
  <c r="O16"/>
  <c r="M16"/>
  <c r="K16"/>
  <c r="I16"/>
  <c r="G16"/>
  <c r="V16"/>
  <c r="R16"/>
  <c r="P16"/>
  <c r="N16"/>
  <c r="L16"/>
  <c r="H16"/>
  <c r="T16"/>
  <c r="J16"/>
  <c r="F16"/>
  <c r="E16"/>
  <c r="D16"/>
  <c r="AB15"/>
  <c r="AA15"/>
  <c r="Z15"/>
  <c r="Y15"/>
  <c r="X15"/>
  <c r="AD16"/>
  <c r="C16" l="1"/>
  <c r="AC14"/>
  <c r="W15"/>
  <c r="U15"/>
  <c r="S15"/>
  <c r="Q15"/>
  <c r="O15"/>
  <c r="M15"/>
  <c r="K15"/>
  <c r="I15"/>
  <c r="G15"/>
  <c r="V15"/>
  <c r="T15"/>
  <c r="R15"/>
  <c r="P15"/>
  <c r="N15"/>
  <c r="L15"/>
  <c r="J15"/>
  <c r="H15"/>
  <c r="F15"/>
  <c r="E15"/>
  <c r="D15"/>
  <c r="AB14"/>
  <c r="AA14"/>
  <c r="Z14"/>
  <c r="Y14"/>
  <c r="X14"/>
  <c r="AD15"/>
  <c r="C15" l="1"/>
  <c r="AC13"/>
  <c r="W14"/>
  <c r="U14"/>
  <c r="S14"/>
  <c r="Q14"/>
  <c r="O14"/>
  <c r="M14"/>
  <c r="K14"/>
  <c r="I14"/>
  <c r="G14"/>
  <c r="T14"/>
  <c r="R14"/>
  <c r="P14"/>
  <c r="L14"/>
  <c r="J14"/>
  <c r="H14"/>
  <c r="V14"/>
  <c r="N14"/>
  <c r="F14"/>
  <c r="E14"/>
  <c r="AA13"/>
  <c r="D14"/>
  <c r="AB13"/>
  <c r="Z13"/>
  <c r="Y13"/>
  <c r="X13"/>
  <c r="AD14"/>
  <c r="C14" l="1"/>
  <c r="AC12"/>
  <c r="W13"/>
  <c r="U13"/>
  <c r="S13"/>
  <c r="Q13"/>
  <c r="O13"/>
  <c r="M13"/>
  <c r="K13"/>
  <c r="I13"/>
  <c r="G13"/>
  <c r="V13"/>
  <c r="T13"/>
  <c r="R13"/>
  <c r="P13"/>
  <c r="N13"/>
  <c r="L13"/>
  <c r="J13"/>
  <c r="H13"/>
  <c r="F13"/>
  <c r="E13"/>
  <c r="D13"/>
  <c r="AB12"/>
  <c r="AA12"/>
  <c r="Z12"/>
  <c r="Y12"/>
  <c r="X12"/>
  <c r="AD13"/>
  <c r="C13" l="1"/>
  <c r="AC11"/>
  <c r="W12"/>
  <c r="U12"/>
  <c r="S12"/>
  <c r="Q12"/>
  <c r="O12"/>
  <c r="M12"/>
  <c r="K12"/>
  <c r="I12"/>
  <c r="G12"/>
  <c r="V12"/>
  <c r="T12"/>
  <c r="R12"/>
  <c r="P12"/>
  <c r="N12"/>
  <c r="L12"/>
  <c r="J12"/>
  <c r="H12"/>
  <c r="F12"/>
  <c r="E12"/>
  <c r="D12"/>
  <c r="AB11"/>
  <c r="AA11"/>
  <c r="Z11"/>
  <c r="Y11"/>
  <c r="X11"/>
  <c r="AD12"/>
  <c r="C12" l="1"/>
  <c r="AC10"/>
  <c r="W11"/>
  <c r="U11"/>
  <c r="S11"/>
  <c r="Q11"/>
  <c r="O11"/>
  <c r="M11"/>
  <c r="K11"/>
  <c r="I11"/>
  <c r="G11"/>
  <c r="V11"/>
  <c r="T11"/>
  <c r="R11"/>
  <c r="P11"/>
  <c r="N11"/>
  <c r="L11"/>
  <c r="J11"/>
  <c r="H11"/>
  <c r="F11"/>
  <c r="E11"/>
  <c r="AA10"/>
  <c r="D11"/>
  <c r="AB10"/>
  <c r="Z10"/>
  <c r="Y10"/>
  <c r="X10"/>
  <c r="AD11"/>
  <c r="C11" l="1"/>
  <c r="AC9"/>
  <c r="W10"/>
  <c r="U10"/>
  <c r="S10"/>
  <c r="Q10"/>
  <c r="O10"/>
  <c r="M10"/>
  <c r="K10"/>
  <c r="I10"/>
  <c r="G10"/>
  <c r="V10"/>
  <c r="T10"/>
  <c r="R10"/>
  <c r="P10"/>
  <c r="N10"/>
  <c r="L10"/>
  <c r="H10"/>
  <c r="J10"/>
  <c r="F10"/>
  <c r="E10"/>
  <c r="D10"/>
  <c r="AB9"/>
  <c r="AA9"/>
  <c r="Z9"/>
  <c r="Y9"/>
  <c r="X9"/>
  <c r="AD10"/>
  <c r="C10" l="1"/>
  <c r="AC8"/>
  <c r="W9"/>
  <c r="U9"/>
  <c r="S9"/>
  <c r="Q9"/>
  <c r="O9"/>
  <c r="M9"/>
  <c r="K9"/>
  <c r="I9"/>
  <c r="G9"/>
  <c r="V9"/>
  <c r="T9"/>
  <c r="R9"/>
  <c r="P9"/>
  <c r="N9"/>
  <c r="L9"/>
  <c r="J9"/>
  <c r="H9"/>
  <c r="F9"/>
  <c r="E9"/>
  <c r="D9"/>
  <c r="AB8"/>
  <c r="AA8"/>
  <c r="Z8"/>
  <c r="Y8"/>
  <c r="X8"/>
  <c r="AD9"/>
  <c r="C9" l="1"/>
  <c r="AC7"/>
  <c r="W8"/>
  <c r="U8"/>
  <c r="S8"/>
  <c r="Q8"/>
  <c r="O8"/>
  <c r="M8"/>
  <c r="K8"/>
  <c r="I8"/>
  <c r="G8"/>
  <c r="V8"/>
  <c r="T8"/>
  <c r="R8"/>
  <c r="P8"/>
  <c r="N8"/>
  <c r="L8"/>
  <c r="J8"/>
  <c r="H8"/>
  <c r="F8"/>
  <c r="E8"/>
  <c r="AA7"/>
  <c r="AB7"/>
  <c r="D8"/>
  <c r="Z7"/>
  <c r="Y7"/>
  <c r="X7"/>
  <c r="AD8"/>
  <c r="C8" l="1"/>
  <c r="AC6"/>
  <c r="W7"/>
  <c r="U7"/>
  <c r="S7"/>
  <c r="Q7"/>
  <c r="O7"/>
  <c r="M7"/>
  <c r="K7"/>
  <c r="I7"/>
  <c r="G7"/>
  <c r="V7"/>
  <c r="T7"/>
  <c r="R7"/>
  <c r="P7"/>
  <c r="N7"/>
  <c r="L7"/>
  <c r="J7"/>
  <c r="H7"/>
  <c r="F7"/>
  <c r="E7"/>
  <c r="D7"/>
  <c r="AB6"/>
  <c r="AA6"/>
  <c r="Z6"/>
  <c r="Y6"/>
  <c r="X6"/>
  <c r="AD7"/>
  <c r="C7" l="1"/>
  <c r="AC5"/>
  <c r="W6"/>
  <c r="U6"/>
  <c r="S6"/>
  <c r="Q6"/>
  <c r="O6"/>
  <c r="M6"/>
  <c r="K6"/>
  <c r="I6"/>
  <c r="G6"/>
  <c r="R6"/>
  <c r="N6"/>
  <c r="L6"/>
  <c r="J6"/>
  <c r="V6"/>
  <c r="T6"/>
  <c r="P6"/>
  <c r="H6"/>
  <c r="F6"/>
  <c r="E6"/>
  <c r="AA5"/>
  <c r="D6"/>
  <c r="AB5"/>
  <c r="Z5"/>
  <c r="Y5"/>
  <c r="X5"/>
  <c r="AD6"/>
  <c r="C6" l="1"/>
  <c r="AC4"/>
  <c r="W5"/>
  <c r="U5"/>
  <c r="S5"/>
  <c r="O5"/>
  <c r="G5"/>
  <c r="V5"/>
  <c r="T5"/>
  <c r="R5"/>
  <c r="P5"/>
  <c r="N5"/>
  <c r="L5"/>
  <c r="J5"/>
  <c r="H5"/>
  <c r="Q5"/>
  <c r="M5"/>
  <c r="K5"/>
  <c r="I5"/>
  <c r="F5"/>
  <c r="E5"/>
  <c r="AA4"/>
  <c r="D5"/>
  <c r="AB4"/>
  <c r="Z4"/>
  <c r="Y4"/>
  <c r="X4"/>
  <c r="AD5"/>
  <c r="C5" l="1"/>
  <c r="AC3"/>
  <c r="W4"/>
  <c r="U4"/>
  <c r="S4"/>
  <c r="Q4"/>
  <c r="O4"/>
  <c r="M4"/>
  <c r="K4"/>
  <c r="I4"/>
  <c r="G4"/>
  <c r="V4"/>
  <c r="T4"/>
  <c r="R4"/>
  <c r="P4"/>
  <c r="N4"/>
  <c r="L4"/>
  <c r="J4"/>
  <c r="H4"/>
  <c r="F4"/>
  <c r="E4"/>
  <c r="AA3"/>
  <c r="D4"/>
  <c r="AB3"/>
  <c r="Z3"/>
  <c r="Y3"/>
  <c r="X3"/>
  <c r="AD4"/>
  <c r="C4" l="1"/>
  <c r="W3"/>
  <c r="U3"/>
  <c r="S3"/>
  <c r="Q3"/>
  <c r="O3"/>
  <c r="M3"/>
  <c r="K3"/>
  <c r="I3"/>
  <c r="G3"/>
  <c r="V3"/>
  <c r="T3"/>
  <c r="P3"/>
  <c r="N3"/>
  <c r="L3"/>
  <c r="J3"/>
  <c r="H3"/>
  <c r="R3"/>
  <c r="F3"/>
  <c r="E3"/>
  <c r="D3"/>
  <c r="AD3"/>
  <c r="C3" l="1"/>
  <c r="D201" i="2"/>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AC2" i="11"/>
  <c r="Q2"/>
  <c r="P2"/>
  <c r="AA2"/>
  <c r="AB2"/>
  <c r="H2"/>
  <c r="G2"/>
  <c r="I2"/>
  <c r="Y2"/>
  <c r="D2"/>
  <c r="N2"/>
  <c r="V2"/>
  <c r="T2"/>
  <c r="F2"/>
  <c r="Z2"/>
  <c r="O2"/>
  <c r="S2"/>
  <c r="M2"/>
  <c r="E2"/>
  <c r="L2"/>
  <c r="K2"/>
  <c r="J2"/>
  <c r="R2"/>
  <c r="U2"/>
  <c r="X2"/>
  <c r="W2"/>
  <c r="C2" l="1"/>
  <c r="AD2"/>
</calcChain>
</file>

<file path=xl/sharedStrings.xml><?xml version="1.0" encoding="utf-8"?>
<sst xmlns="http://schemas.openxmlformats.org/spreadsheetml/2006/main" count="361" uniqueCount="38">
  <si>
    <t>ACTION</t>
  </si>
  <si>
    <t xml:space="preserve">  </t>
  </si>
  <si>
    <t>MENU</t>
  </si>
  <si>
    <t>LTP</t>
  </si>
  <si>
    <t>Symbol</t>
  </si>
  <si>
    <t xml:space="preserve">_x000D_
</t>
  </si>
  <si>
    <t>High</t>
  </si>
  <si>
    <t>Low</t>
  </si>
  <si>
    <t>Volume</t>
  </si>
  <si>
    <t>AXISBANK</t>
  </si>
  <si>
    <t>Exch</t>
  </si>
  <si>
    <t>% Chg</t>
  </si>
  <si>
    <t>Net Chg</t>
  </si>
  <si>
    <t>LTQ</t>
  </si>
  <si>
    <t>Best Bid</t>
  </si>
  <si>
    <t>Bid Qty</t>
  </si>
  <si>
    <t>Best Ask</t>
  </si>
  <si>
    <t>Ask Qty</t>
  </si>
  <si>
    <t>Avg Price</t>
  </si>
  <si>
    <t>Buy Qty</t>
  </si>
  <si>
    <t>Sell Qty</t>
  </si>
  <si>
    <t>Open</t>
  </si>
  <si>
    <t>Close</t>
  </si>
  <si>
    <t>Open Int</t>
  </si>
  <si>
    <t>Lower Ckt</t>
  </si>
  <si>
    <t>Upper Ckt</t>
  </si>
  <si>
    <t>Last Trade Time</t>
  </si>
  <si>
    <t>Spot</t>
  </si>
  <si>
    <t>Sub Quotes</t>
  </si>
  <si>
    <t>Ltp Color</t>
  </si>
  <si>
    <t>NSE_EQ</t>
  </si>
  <si>
    <t>MKT DEPTH</t>
  </si>
  <si>
    <t>TERMS OF USE</t>
  </si>
  <si>
    <r>
      <t xml:space="preserve">
These terms of use (“Terms”) are an agreement between you (“You”, “Your”) and Howutrade Software Solutions LLP (“HowUTrade”, “We”, “Our” or “Us”) with registered office at 2/330, New Middle St, Madukkur North,Thanjavur, Tamil Nadu, India 614903 and govern your use of HowUTrade’s program code (the “Code”) written in VBA or AFL or any other computer programming or scripting language.
By using the code, you are agreeing to these terms. Please read them carefully.
If you do not agree to these terms, you do not have the right to access or use the code.If you do use the code you shall be deemed to confirm your acceptance of the terms.
Using the code does not give you ownership of any intellectual property rights in the code or the content you access.
</t>
    </r>
    <r>
      <rPr>
        <b/>
        <sz val="11"/>
        <color theme="1" tint="0.249977111117893"/>
        <rFont val="Cambria"/>
        <family val="1"/>
        <scheme val="major"/>
      </rPr>
      <t xml:space="preserve">
1.   LICENSE:</t>
    </r>
    <r>
      <rPr>
        <sz val="11"/>
        <color theme="1" tint="0.249977111117893"/>
        <rFont val="Cambria"/>
        <family val="1"/>
        <scheme val="major"/>
      </rPr>
      <t xml:space="preserve">
HowUTrade grants to you a limited, non-exclusive, non-transferable license, without right to sub-license, to use the code. HowUTrade does not transfer the title of the code to you.The code provided to you is not a sale.The code is licensed for personal use only, not commercial use.
</t>
    </r>
    <r>
      <rPr>
        <b/>
        <sz val="11"/>
        <color theme="1" tint="0.249977111117893"/>
        <rFont val="Cambria"/>
        <family val="1"/>
        <scheme val="major"/>
      </rPr>
      <t xml:space="preserve">
2.  LIMITATIONS:</t>
    </r>
    <r>
      <rPr>
        <sz val="11"/>
        <color theme="1" tint="0.249977111117893"/>
        <rFont val="Cambria"/>
        <family val="1"/>
        <scheme val="major"/>
      </rPr>
      <t xml:space="preserve">
You agree not to, and you will not permit others to:
license, sell, rent, lease, assign, distribute, transmit, host, outsource, disclose or otherwise commercially exploit the code provided by HowUTrade or make the code available to any third party.
</t>
    </r>
    <r>
      <rPr>
        <b/>
        <sz val="11"/>
        <color theme="1" tint="0.249977111117893"/>
        <rFont val="Cambria"/>
        <family val="1"/>
        <scheme val="major"/>
      </rPr>
      <t xml:space="preserve">
3.  USE RESTRICTIONS:</t>
    </r>
    <r>
      <rPr>
        <sz val="11"/>
        <color theme="1" tint="0.249977111117893"/>
        <rFont val="Cambria"/>
        <family val="1"/>
        <scheme val="major"/>
      </rPr>
      <t xml:space="preserve">
You shall use the code in compliance with all applicable laws and not for any unlawful purpose.Without limiting the foregoing, use, display or distribution of the code together with material that is pornographic, racist, vulgar, obscene, defamatory, libelous, abusive, promoting hatred, discriminating or displaying prejudice based on religion, ethnic heritage, race, sexual orientation or age is strictly prohibited.
</t>
    </r>
    <r>
      <rPr>
        <b/>
        <sz val="11"/>
        <color theme="1" tint="0.249977111117893"/>
        <rFont val="Cambria"/>
        <family val="1"/>
        <scheme val="major"/>
      </rPr>
      <t xml:space="preserve">
4.  COPYRIGHT RESTRICTIONS:</t>
    </r>
    <r>
      <rPr>
        <sz val="11"/>
        <color theme="1" tint="0.249977111117893"/>
        <rFont val="Cambria"/>
        <family val="1"/>
        <scheme val="major"/>
      </rPr>
      <t xml:space="preserve">
The code provided by HowUTrade contains copyrighted material, trade secrets and other proprietary material. You shall not, and shall not attempt to, modify, reverse engineer, disassemble or decompile nor can you create any derivative works or other works that are based upon or derived from the code in whole or in part.
</t>
    </r>
    <r>
      <rPr>
        <b/>
        <sz val="11"/>
        <color theme="1" tint="0.249977111117893"/>
        <rFont val="Cambria"/>
        <family val="1"/>
        <scheme val="major"/>
      </rPr>
      <t>5. INDEMNIFICATION:</t>
    </r>
    <r>
      <rPr>
        <sz val="11"/>
        <color theme="1" tint="0.249977111117893"/>
        <rFont val="Cambria"/>
        <family val="1"/>
        <scheme val="major"/>
      </rPr>
      <t xml:space="preserve">
You will indemnify, hold harmless, and defend HowUTrade, its employees, agents and distributors against any and all claims, proceedings, demand and costs resulting from or in any way connected with your use of the code.
</t>
    </r>
    <r>
      <rPr>
        <b/>
        <sz val="11"/>
        <color theme="1" tint="0.249977111117893"/>
        <rFont val="Cambria"/>
        <family val="1"/>
        <scheme val="major"/>
      </rPr>
      <t>6. REGULATORY APPROVALS:</t>
    </r>
    <r>
      <rPr>
        <sz val="11"/>
        <color theme="1" tint="0.249977111117893"/>
        <rFont val="Cambria"/>
        <family val="1"/>
        <scheme val="major"/>
      </rPr>
      <t xml:space="preserve">
You should take necessary regulatory approvals if any, required to use the code for trading or investment in stock markets.For any and all compliance related queries, you can contact your stock broker or trading member.You hereby consent that you are aware of the risk involved in programmatic trading and have sufficient basic programming and coding knowledge required to use the code.
</t>
    </r>
    <r>
      <rPr>
        <b/>
        <sz val="11"/>
        <color theme="1" tint="0.249977111117893"/>
        <rFont val="Cambria"/>
        <family val="1"/>
        <scheme val="major"/>
      </rPr>
      <t>7. CONSENT OF USE OF DATA:</t>
    </r>
    <r>
      <rPr>
        <sz val="11"/>
        <color theme="1" tint="0.249977111117893"/>
        <rFont val="Cambria"/>
        <family val="1"/>
        <scheme val="major"/>
      </rPr>
      <t xml:space="preserve">
The code may collect information gathered in any manner as a part of the product support services provided to you if any related to the code and send that to HowUTrade. HowUTrade may use this information to improve our products and services. Your use of the code operates as your consent to these practices.
</t>
    </r>
    <r>
      <rPr>
        <b/>
        <sz val="11"/>
        <color theme="1" tint="0.249977111117893"/>
        <rFont val="Cambria"/>
        <family val="1"/>
        <scheme val="major"/>
      </rPr>
      <t>8. INVESTMENT DISCLAIMER:</t>
    </r>
    <r>
      <rPr>
        <sz val="11"/>
        <color theme="1" tint="0.249977111117893"/>
        <rFont val="Cambria"/>
        <family val="1"/>
        <scheme val="major"/>
      </rPr>
      <t xml:space="preserve">
HowUTrade is not a stock broker or trading member,is not an investment advisor and has no access to non-public information about publicly traded companies. HowUTrade is not giving or receiving of financial advice, advice concerning investment decisions or tax or legal advice. HowUTrade merely provide information technology services. Neither HowUTrade nor its employees are licensed investment advisors, tax advisors, nor attorneys. Consult with a licensed investment advisor and a tax advisor to determine the suitability of any investment. You are advised to conduct your own independent research into individual stocks before making a purchase decision.In addition, you are advised that past stock performance is not indicative of future price action and it should not be assumed that future results will be profitable or will equal past performance, real, indicated or implied. You should be aware of the risks involved in stock investments. The code provided by HowUTrade do not provide, imply, or otherwise constitute a guarantee of performance.
</t>
    </r>
    <r>
      <rPr>
        <b/>
        <sz val="11"/>
        <color theme="1" tint="0.249977111117893"/>
        <rFont val="Cambria"/>
        <family val="1"/>
        <scheme val="major"/>
      </rPr>
      <t>9.  GOVERNING LAW:</t>
    </r>
    <r>
      <rPr>
        <sz val="11"/>
        <color theme="1" tint="0.249977111117893"/>
        <rFont val="Cambria"/>
        <family val="1"/>
        <scheme val="major"/>
      </rPr>
      <t xml:space="preserve">
This terms of use shall be governed and interpreted by the laws of the Union of India. Only courts in Thanjavur (Tamil Nadu) shall have the jurisdiction for the resolution of any disputes hereunder. You hereby consent to such personal and exclusive jurisdiction.If any provision shall be considered unlawful, void or otherwise unenforceable, then that provision shall be deemed severable from this terms of use and not affect the validity and enforceability of any other provisions.
</t>
    </r>
    <r>
      <rPr>
        <b/>
        <sz val="11"/>
        <color theme="1" tint="0.249977111117893"/>
        <rFont val="Cambria"/>
        <family val="1"/>
        <scheme val="major"/>
      </rPr>
      <t>10.  WARRANTY DISCLAIMER:</t>
    </r>
    <r>
      <rPr>
        <sz val="11"/>
        <color theme="1" tint="0.249977111117893"/>
        <rFont val="Cambria"/>
        <family val="1"/>
        <scheme val="major"/>
      </rPr>
      <t xml:space="preserve">
HOWUTRADE HEREBY EXPRESSLY DISCLAIM ANY WARRANTY FOR THE CODE.THE CODE IS PROVIDED “AS IS” WITHOUT WARRANTY OF ANY KIND, EITHER EXPRESS OR IMPLIED, INCLUDING, WITHOUT LIMITATION, THE IMPLIED WARRANTIES OF MERCHANTABILITY, FITNESS FOR A PARTICULAR PURPOSE, OR NON-INFRINGEMENT.YOU ACCEPTS ANY AND ALL RISK ARISING OUT OF USE OR PERFORMANCE OF THE CODE.
</t>
    </r>
    <r>
      <rPr>
        <b/>
        <sz val="11"/>
        <color theme="1" tint="0.249977111117893"/>
        <rFont val="Cambria"/>
        <family val="1"/>
        <scheme val="major"/>
      </rPr>
      <t>11.  LIMITATION OF LIABILITY:</t>
    </r>
    <r>
      <rPr>
        <sz val="11"/>
        <color theme="1" tint="0.249977111117893"/>
        <rFont val="Cambria"/>
        <family val="1"/>
        <scheme val="major"/>
      </rPr>
      <t xml:space="preserve">
HOWUTRADE SHALL NOT BE LIABLE TO YOU, OR ANY OTHER PERSON OR ENTITY CLAIMING THROUGH YOU ANY LOSS OF PROFITS, INCOME, SAVINGS, OR ANY OTHER CONSEQUENTIAL INCIDENTAL, SPECIAL, PUNITIVE, DIRECT OR INDIRECT DAMAGE, WHETHER ARISING IN CONTRACT, TORT, WARRANTY, OR OTHERWISE, ARISING FROM, OUT OF OR IN CONNECTION WITH THE CODE OR THE USE OR OTHER DEALINGS IN THE CODE. UNDER NO CIRCUMSTANCES SHALL HOWUTRADE AGGREGATE LIABILITY TO YOU,OR OTHER PERSON OR ENTITY CLAIMING THROUGH YOU, EXCEEDS THE FINANCIAL AMOUNT ACTUALLY PAID BY YOU TO HOWUTRADE FOR THE CODE.</t>
    </r>
  </si>
  <si>
    <t>Net Qty</t>
  </si>
  <si>
    <t>MTM</t>
  </si>
  <si>
    <t>Yearly High</t>
  </si>
  <si>
    <t>Yearly Low</t>
  </si>
</sst>
</file>

<file path=xl/styles.xml><?xml version="1.0" encoding="utf-8"?>
<styleSheet xmlns="http://schemas.openxmlformats.org/spreadsheetml/2006/main">
  <fonts count="6">
    <font>
      <sz val="11"/>
      <color theme="1"/>
      <name val="Calibri"/>
      <family val="2"/>
      <scheme val="minor"/>
    </font>
    <font>
      <sz val="11"/>
      <color theme="1" tint="0.249977111117893"/>
      <name val="Cambria"/>
      <family val="1"/>
      <scheme val="major"/>
    </font>
    <font>
      <sz val="11"/>
      <color rgb="FFC00000"/>
      <name val="Cambria"/>
      <family val="1"/>
      <scheme val="major"/>
    </font>
    <font>
      <b/>
      <sz val="11"/>
      <color theme="1" tint="0.249977111117893"/>
      <name val="Cambria"/>
      <family val="1"/>
      <scheme val="major"/>
    </font>
    <font>
      <sz val="11"/>
      <color theme="7" tint="-0.499984740745262"/>
      <name val="Cambria"/>
      <family val="1"/>
      <scheme val="major"/>
    </font>
    <font>
      <sz val="10"/>
      <name val="Arial"/>
      <family val="2"/>
    </font>
  </fonts>
  <fills count="7">
    <fill>
      <patternFill patternType="none"/>
    </fill>
    <fill>
      <patternFill patternType="gray125"/>
    </fill>
    <fill>
      <patternFill patternType="solid">
        <fgColor rgb="FFFFFF99"/>
        <bgColor indexed="64"/>
      </patternFill>
    </fill>
    <fill>
      <patternFill patternType="solid">
        <fgColor theme="8" tint="0.79998168889431442"/>
        <bgColor indexed="64"/>
      </patternFill>
    </fill>
    <fill>
      <gradientFill degree="90">
        <stop position="0">
          <color theme="0" tint="-0.34900967436750391"/>
        </stop>
        <stop position="1">
          <color theme="0" tint="-0.1490218817712943"/>
        </stop>
      </gradientFill>
    </fill>
    <fill>
      <gradientFill degree="90">
        <stop position="0">
          <color theme="8" tint="-0.25098422193060094"/>
        </stop>
        <stop position="1">
          <color theme="8" tint="0.59999389629810485"/>
        </stop>
      </gradientFill>
    </fill>
    <fill>
      <gradientFill degree="90">
        <stop position="0">
          <color theme="9" tint="-0.25098422193060094"/>
        </stop>
        <stop position="1">
          <color theme="9" tint="0.59999389629810485"/>
        </stop>
      </gradientFill>
    </fill>
  </fills>
  <borders count="1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bottom/>
      <diagonal/>
    </border>
    <border>
      <left style="thin">
        <color theme="0" tint="-0.34998626667073579"/>
      </left>
      <right/>
      <top/>
      <bottom/>
      <diagonal/>
    </border>
  </borders>
  <cellStyleXfs count="2">
    <xf numFmtId="0" fontId="0" fillId="0" borderId="0"/>
    <xf numFmtId="0" fontId="5" fillId="0" borderId="0">
      <alignment vertical="center"/>
    </xf>
  </cellStyleXfs>
  <cellXfs count="30">
    <xf numFmtId="0" fontId="0" fillId="0" borderId="0" xfId="0"/>
    <xf numFmtId="0" fontId="1" fillId="0" borderId="0" xfId="0" applyFont="1" applyAlignment="1">
      <alignment vertical="center"/>
    </xf>
    <xf numFmtId="0" fontId="1" fillId="0" borderId="1" xfId="0" applyNumberFormat="1" applyFont="1" applyBorder="1" applyAlignment="1" applyProtection="1">
      <alignment horizontal="center" vertical="center"/>
    </xf>
    <xf numFmtId="0" fontId="1" fillId="0" borderId="1" xfId="0" applyNumberFormat="1" applyFont="1" applyBorder="1" applyAlignment="1">
      <alignment vertical="center"/>
    </xf>
    <xf numFmtId="0" fontId="1" fillId="0" borderId="0" xfId="0" applyFont="1"/>
    <xf numFmtId="0" fontId="1" fillId="0" borderId="0" xfId="0" applyFont="1" applyAlignment="1">
      <alignment wrapText="1"/>
    </xf>
    <xf numFmtId="0" fontId="1" fillId="0" borderId="0" xfId="0" applyFont="1" applyAlignment="1"/>
    <xf numFmtId="0" fontId="1" fillId="0" borderId="8" xfId="0" applyFont="1" applyBorder="1" applyAlignment="1"/>
    <xf numFmtId="0" fontId="1" fillId="0" borderId="9" xfId="0" applyFont="1" applyBorder="1" applyAlignment="1"/>
    <xf numFmtId="0" fontId="1" fillId="2" borderId="1" xfId="0" applyFont="1" applyFill="1" applyBorder="1" applyAlignment="1" applyProtection="1">
      <alignment vertical="center"/>
      <protection locked="0"/>
    </xf>
    <xf numFmtId="0" fontId="1" fillId="0" borderId="1" xfId="0" applyFont="1" applyBorder="1" applyAlignment="1" applyProtection="1">
      <alignment horizontal="center" vertical="center"/>
    </xf>
    <xf numFmtId="0" fontId="1" fillId="0" borderId="0" xfId="0" applyFont="1" applyAlignment="1" applyProtection="1">
      <alignment horizontal="center" vertical="center"/>
    </xf>
    <xf numFmtId="2" fontId="1" fillId="0" borderId="1" xfId="0" applyNumberFormat="1" applyFont="1" applyBorder="1" applyAlignment="1" applyProtection="1">
      <alignment vertical="center"/>
    </xf>
    <xf numFmtId="1" fontId="1" fillId="0" borderId="1" xfId="0" applyNumberFormat="1" applyFont="1" applyBorder="1" applyAlignment="1" applyProtection="1">
      <alignment vertical="center"/>
    </xf>
    <xf numFmtId="21" fontId="1" fillId="0" borderId="1" xfId="0" applyNumberFormat="1" applyFont="1" applyBorder="1" applyAlignment="1" applyProtection="1">
      <alignment vertical="center"/>
    </xf>
    <xf numFmtId="0" fontId="1" fillId="0" borderId="1" xfId="0" applyFont="1" applyBorder="1" applyAlignment="1" applyProtection="1">
      <alignment vertical="center"/>
    </xf>
    <xf numFmtId="0" fontId="1" fillId="0" borderId="0" xfId="0" applyFont="1" applyAlignment="1" applyProtection="1">
      <alignment vertical="center"/>
    </xf>
    <xf numFmtId="0" fontId="1" fillId="4" borderId="1" xfId="0" applyFont="1" applyFill="1" applyBorder="1" applyAlignment="1" applyProtection="1">
      <alignment horizontal="center" vertical="center"/>
    </xf>
    <xf numFmtId="0" fontId="4" fillId="4" borderId="1" xfId="0" applyNumberFormat="1" applyFont="1" applyFill="1" applyBorder="1" applyAlignment="1">
      <alignment horizontal="center" vertical="center"/>
    </xf>
    <xf numFmtId="0" fontId="1" fillId="6" borderId="1" xfId="0" applyFont="1" applyFill="1" applyBorder="1" applyAlignment="1">
      <alignment horizontal="center" vertical="center"/>
    </xf>
    <xf numFmtId="0" fontId="3" fillId="6" borderId="0" xfId="0" applyFont="1" applyFill="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2" fillId="5" borderId="5" xfId="0" applyFont="1" applyFill="1" applyBorder="1" applyAlignment="1">
      <alignment horizontal="center" vertical="center"/>
    </xf>
    <xf numFmtId="0" fontId="2" fillId="5" borderId="6" xfId="0" applyFont="1" applyFill="1" applyBorder="1" applyAlignment="1">
      <alignment horizontal="center" vertical="center"/>
    </xf>
    <xf numFmtId="0" fontId="2" fillId="5" borderId="7" xfId="0" applyFont="1" applyFill="1" applyBorder="1" applyAlignment="1">
      <alignment horizontal="center" vertical="center"/>
    </xf>
    <xf numFmtId="0" fontId="1" fillId="3" borderId="2" xfId="0" applyFont="1" applyFill="1" applyBorder="1" applyAlignment="1">
      <alignment horizontal="left" vertical="top" wrapText="1"/>
    </xf>
    <xf numFmtId="0" fontId="1" fillId="3" borderId="3" xfId="0" applyFont="1" applyFill="1" applyBorder="1" applyAlignment="1">
      <alignment horizontal="left" vertical="top" wrapText="1"/>
    </xf>
    <xf numFmtId="0" fontId="1" fillId="3" borderId="4" xfId="0" applyFont="1" applyFill="1" applyBorder="1" applyAlignment="1">
      <alignment horizontal="left" vertical="top" wrapText="1"/>
    </xf>
  </cellXfs>
  <cellStyles count="2">
    <cellStyle name="Normal" xfId="0" builtinId="0"/>
    <cellStyle name="Normal 2" xfId="1"/>
  </cellStyles>
  <dxfs count="7">
    <dxf>
      <fill>
        <gradientFill degree="90">
          <stop position="0">
            <color theme="8" tint="-0.25098422193060094"/>
          </stop>
          <stop position="1">
            <color theme="8" tint="0.59999389629810485"/>
          </stop>
        </gradientFill>
      </fill>
    </dxf>
    <dxf>
      <fill>
        <patternFill>
          <bgColor rgb="FF3FFF96"/>
        </patternFill>
      </fill>
    </dxf>
    <dxf>
      <fill>
        <patternFill>
          <bgColor rgb="FFFF8181"/>
        </patternFill>
      </fill>
    </dxf>
    <dxf>
      <fill>
        <gradientFill degree="90">
          <stop position="0">
            <color theme="9" tint="-0.25098422193060094"/>
          </stop>
          <stop position="1">
            <color theme="9" tint="0.59999389629810485"/>
          </stop>
        </gradientFill>
      </fill>
    </dxf>
    <dxf>
      <fill>
        <gradientFill degree="90">
          <stop position="0">
            <color theme="8" tint="-0.25098422193060094"/>
          </stop>
          <stop position="1">
            <color theme="8" tint="0.59999389629810485"/>
          </stop>
        </gradientFill>
      </fill>
    </dxf>
    <dxf>
      <fill>
        <gradientFill degree="90">
          <stop position="0">
            <color theme="7" tint="-0.25098422193060094"/>
          </stop>
          <stop position="1">
            <color theme="7" tint="0.59999389629810485"/>
          </stop>
        </gradientFill>
      </fill>
    </dxf>
    <dxf>
      <fill>
        <gradientFill degree="90">
          <stop position="0">
            <color theme="6" tint="-0.25098422193060094"/>
          </stop>
          <stop position="1">
            <color theme="6" tint="0.59999389629810485"/>
          </stop>
        </gradientFill>
      </fill>
    </dxf>
  </dxfs>
  <tableStyles count="0" defaultTableStyle="TableStyleMedium9" defaultPivotStyle="PivotStyleLight16"/>
  <colors>
    <mruColors>
      <color rgb="FFFFFF99"/>
      <color rgb="FFFF8181"/>
      <color rgb="FF3FFF96"/>
      <color rgb="FF0000FF"/>
      <color rgb="FFFFAA8F"/>
      <color rgb="FFCC3300"/>
      <color rgb="FFFF33CC"/>
      <color rgb="FFD60093"/>
      <color rgb="FFCC0000"/>
      <color rgb="FFFF3300"/>
    </mruColors>
  </colors>
</styleSheet>
</file>

<file path=xl/volatileDependencies.xml><?xml version="1.0" encoding="utf-8"?>
<volTypes xmlns="http://schemas.openxmlformats.org/spreadsheetml/2006/main">
  <volType type="realTimeData">
    <main first="upstox.rtd">
      <tp>
        <v>0</v>
        <stp/>
        <stp>AXISBANK.NSE_EQ</stp>
        <stp>NETQTY</stp>
        <tr r="E2" s="11"/>
      </tp>
      <tp t="s">
        <v>Field Not Supported</v>
        <stp/>
        <stp>AXISBANK.NSE_EQ</stp>
        <stp>BUYQTY</stp>
        <tr r="P2" s="11"/>
      </tp>
      <tp>
        <v>0</v>
        <stp/>
        <stp>AXISBANK.NSE_EQ</stp>
        <stp>VOLUME</stp>
        <tr r="O2" s="11"/>
      </tp>
      <tp>
        <v>0</v>
        <stp/>
        <stp>AXISBANK.NSE_EQ</stp>
        <stp>ASKSIZE</stp>
        <tr r="M2" s="11"/>
      </tp>
      <tp>
        <v>0</v>
        <stp/>
        <stp>AXISBANK.NSE_EQ</stp>
        <stp>CLOSE</stp>
        <tr r="U2" s="11"/>
      </tp>
      <tp>
        <v>0</v>
        <stp/>
        <stp>AXISBANK.NSE_EQ</stp>
        <stp>BIDSIZE</stp>
        <tr r="K2" s="11"/>
      </tp>
      <tp>
        <v>0</v>
        <stp/>
        <stp>AXISBANK.NSE_EQ</stp>
        <stp>PCTCHG</stp>
        <tr r="G2" s="11"/>
      </tp>
      <tp>
        <v>0</v>
        <stp/>
        <stp>AXISBANK.NSE_EQ</stp>
        <stp>NETCHG</stp>
        <tr r="H2" s="11"/>
      </tp>
      <tp t="s">
        <v>Field Not Supported</v>
        <stp/>
        <stp>AXISBANK.NSE_EQ</stp>
        <stp>SELLQTY</stp>
        <tr r="Q2" s="11"/>
      </tp>
      <tp>
        <v>0</v>
        <stp/>
        <stp>AXISBANK.NSE_EQ</stp>
        <stp>SPOT</stp>
        <tr r="AB2" s="11"/>
      </tp>
      <tp>
        <v>0</v>
        <stp/>
        <stp>AXISBANK.NSE_EQ</stp>
        <stp>OPEN</stp>
        <tr r="R2" s="11"/>
      </tp>
      <tp>
        <v>0</v>
        <stp/>
        <stp>AXISBANK.NSE_EQ</stp>
        <stp>HIGH</stp>
        <tr r="S2" s="11"/>
      </tp>
      <tp>
        <v>0</v>
        <stp/>
        <stp>AXISBANK.NSE_EQ</stp>
        <stp>LAST</stp>
        <tr r="D2" s="11"/>
      </tp>
      <tp>
        <v>0</v>
        <stp/>
        <stp>AXISBANK.NSE_EQ</stp>
        <stp>YEARLYHIGH</stp>
        <tr r="Y2" s="11"/>
      </tp>
      <tp>
        <v>0</v>
        <stp/>
        <stp>AXISBANK.NSE_EQ</stp>
        <stp>LTT</stp>
        <tr r="AA2" s="11"/>
      </tp>
      <tp>
        <v>0</v>
        <stp/>
        <stp>AXISBANK.NSE_EQ</stp>
        <stp>LOW</stp>
        <tr r="T2" s="11"/>
      </tp>
      <tp>
        <v>0</v>
        <stp/>
        <stp>AXISBANK.NSE_EQ</stp>
        <stp>MTM</stp>
        <tr r="F2" s="11"/>
      </tp>
      <tp>
        <v>0</v>
        <stp/>
        <stp>AXISBANK.NSE_EQ</stp>
        <stp>YEARLYLOW</stp>
        <tr r="Z2" s="11"/>
      </tp>
      <tp>
        <v>0</v>
        <stp/>
        <stp>AXISBANK.NSE_EQ</stp>
        <stp>OI</stp>
        <tr r="V2" s="11"/>
      </tp>
      <tp>
        <v>0</v>
        <stp/>
        <stp>AXISBANK.NSE_EQ</stp>
        <stp>ASK</stp>
        <tr r="L2" s="11"/>
      </tp>
      <tp>
        <v>0</v>
        <stp/>
        <stp>AXISBANK.NSE_EQ</stp>
        <stp>BID</stp>
        <tr r="J2" s="11"/>
      </tp>
      <tp>
        <v>0</v>
        <stp/>
        <stp>AXISBANK.NSE_EQ</stp>
        <stp>AVGPRICE</stp>
        <tr r="N2" s="11"/>
      </tp>
      <tp>
        <v>0</v>
        <stp/>
        <stp>AXISBANK.NSE_EQ</stp>
        <stp>UPPERCKT</stp>
        <tr r="X2" s="11"/>
      </tp>
      <tp>
        <v>0</v>
        <stp/>
        <stp>AXISBANK.NSE_EQ</stp>
        <stp>LOWERCKT</stp>
        <tr r="W2" s="11"/>
      </tp>
      <tp>
        <v>0</v>
        <stp/>
        <stp>AXISBANK.NSE_EQ</stp>
        <stp>LASTSIZE</stp>
        <tr r="I2" s="11"/>
      </tp>
    </main>
  </volType>
</volTypes>
</file>

<file path=xl/_rels/workbook.xml.rels><?xml version="1.0" encoding="UTF-8" standalone="yes"?>
<Relationships xmlns="http://schemas.openxmlformats.org/package/2006/relationships"><Relationship Id="rId8"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TA Settings"/>
  <ax:ocxPr ax:name="Size" ax:value="3466;767"/>
  <ax:ocxPr ax:name="FontName" ax:value="Cambria"/>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TA Signals"/>
  <ax:ocxPr ax:name="Size" ax:value="3466;767"/>
  <ax:ocxPr ax:name="FontName" ax:value="Cambria"/>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Hist Data"/>
  <ax:ocxPr ax:name="Size" ax:value="3466;767"/>
  <ax:ocxPr ax:name="FontName" ax:value="Cambria"/>
  <ax:ocxPr ax:name="FontHeight" ax:value="195"/>
  <ax:ocxPr ax:name="FontCharSet" ax:value="0"/>
  <ax:ocxPr ax:name="FontPitchAndFamily" ax:value="2"/>
  <ax:ocxPr ax:name="ParagraphAlign" ax:value="3"/>
</ax:ocx>
</file>

<file path=xl/activeX/activeX4.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Logout"/>
  <ax:ocxPr ax:name="Size" ax:value="3466;767"/>
  <ax:ocxPr ax:name="FontName" ax:value="Cambria"/>
  <ax:ocxPr ax:name="FontHeight" ax:value="195"/>
  <ax:ocxPr ax:name="FontCharSet" ax:value="0"/>
  <ax:ocxPr ax:name="FontPitchAndFamily" ax:value="2"/>
  <ax:ocxPr ax:name="ParagraphAlign" ax:value="3"/>
</ax:ocx>
</file>

<file path=xl/activeX/activeX5.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Holdings"/>
  <ax:ocxPr ax:name="Size" ax:value="3466;767"/>
  <ax:ocxPr ax:name="FontName" ax:value="Cambria"/>
  <ax:ocxPr ax:name="FontHeight" ax:value="195"/>
  <ax:ocxPr ax:name="FontCharSet" ax:value="0"/>
  <ax:ocxPr ax:name="FontPitchAndFamily" ax:value="2"/>
  <ax:ocxPr ax:name="ParagraphAlign" ax:value="3"/>
</ax:ocx>
</file>

<file path=xl/activeX/activeX6.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Trade Book"/>
  <ax:ocxPr ax:name="Size" ax:value="3466;767"/>
  <ax:ocxPr ax:name="FontName" ax:value="Cambria"/>
  <ax:ocxPr ax:name="FontHeight" ax:value="195"/>
  <ax:ocxPr ax:name="FontCharSet" ax:value="0"/>
  <ax:ocxPr ax:name="FontPitchAndFamily" ax:value="2"/>
  <ax:ocxPr ax:name="ParagraphAlign" ax:value="3"/>
</ax:ocx>
</file>

<file path=xl/activeX/activeX7.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Order Book"/>
  <ax:ocxPr ax:name="Size" ax:value="3466;767"/>
  <ax:ocxPr ax:name="FontName" ax:value="Cambria"/>
  <ax:ocxPr ax:name="FontHeight" ax:value="195"/>
  <ax:ocxPr ax:name="FontCharSet" ax:value="0"/>
  <ax:ocxPr ax:name="FontPitchAndFamily" ax:value="2"/>
  <ax:ocxPr ax:name="ParagraphAlign" ax:value="3"/>
</ax:ocx>
</file>

<file path=xl/activeX/activeX8.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Positions"/>
  <ax:ocxPr ax:name="Size" ax:value="3466;767"/>
  <ax:ocxPr ax:name="FontName" ax:value="Cambria"/>
  <ax:ocxPr ax:name="FontHeight" ax:value="195"/>
  <ax:ocxPr ax:name="FontCharSet" ax:value="0"/>
  <ax:ocxPr ax:name="FontPitchAndFamily" ax:value="2"/>
  <ax:ocxPr ax:name="ParagraphAlign" ax:value="3"/>
</ax:ocx>
</file>

<file path=xl/activeX/activeX9.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Funds"/>
  <ax:ocxPr ax:name="Size" ax:value="3466;767"/>
  <ax:ocxPr ax:name="FontName" ax:value="Cambria"/>
  <ax:ocxPr ax:name="FontHeight" ax:value="195"/>
  <ax:ocxPr ax:name="FontCharSet" ax:value="0"/>
  <ax:ocxPr ax:name="FontPitchAndFamily" ax:value="2"/>
  <ax:ocxPr ax:name="ParagraphAlign" ax:value="3"/>
</ax:ocx>
</file>

<file path=xl/activeX/activeX10.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Symbol Status"/>
  <ax:ocxPr ax:name="Size" ax:value="3466;767"/>
  <ax:ocxPr ax:name="FontName" ax:value="Cambria"/>
  <ax:ocxPr ax:name="FontHeight" ax:value="195"/>
  <ax:ocxPr ax:name="FontCharSet" ax:value="0"/>
  <ax:ocxPr ax:name="FontPitchAndFamily" ax:value="2"/>
  <ax:ocxPr ax:name="ParagraphAlign" ax:value="3"/>
</ax:ocx>
</file>

<file path=xl/activeX/activeX11.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Settings"/>
  <ax:ocxPr ax:name="Size" ax:value="3466;767"/>
  <ax:ocxPr ax:name="FontName" ax:value="Cambria"/>
  <ax:ocxPr ax:name="FontHeight" ax:value="195"/>
  <ax:ocxPr ax:name="FontCharSet" ax:value="0"/>
  <ax:ocxPr ax:name="FontPitchAndFamily" ax:value="2"/>
  <ax:ocxPr ax:name="ParagraphAlign" ax:value="3"/>
</ax:ocx>
</file>

<file path=xl/activeX/activeX12.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Login"/>
  <ax:ocxPr ax:name="Size" ax:value="3466;767"/>
  <ax:ocxPr ax:name="FontName" ax:value="Cambria"/>
  <ax:ocxPr ax:name="FontHeight" ax:value="195"/>
  <ax:ocxPr ax:name="FontCharSet" ax:value="0"/>
  <ax:ocxPr ax:name="FontPitchAndFamily" ax:value="2"/>
  <ax:ocxPr ax:name="ParagraphAlign" ax:value="3"/>
</ax:ocx>
</file>

<file path=xl/activeX/activeX13.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Place Order"/>
  <ax:ocxPr ax:name="Size" ax:value="3466;767"/>
  <ax:ocxPr ax:name="FontName" ax:value="Cambria"/>
  <ax:ocxPr ax:name="FontHeight" ax:value="195"/>
  <ax:ocxPr ax:name="FontCharSet" ax:value="0"/>
  <ax:ocxPr ax:name="FontPitchAndFamily" ax:value="2"/>
  <ax:ocxPr ax:name="ParagraphAlign" ax:value="3"/>
</ax:ocx>
</file>

<file path=xl/activeX/activeX14.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Login Manual"/>
  <ax:ocxPr ax:name="Size" ax:value="3466;767"/>
  <ax:ocxPr ax:name="FontName" ax:value="Cambria"/>
  <ax:ocxPr ax:name="FontHeight" ax:value="195"/>
  <ax:ocxPr ax:name="FontCharSet" ax:value="0"/>
  <ax:ocxPr ax:name="FontPitchAndFamily" ax:value="2"/>
  <ax:ocxPr ax:name="ParagraphAlign" ax:value="3"/>
</ax:ocx>
</file>

<file path=xl/activeX/activeX15.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Refresh RTD"/>
  <ax:ocxPr ax:name="Size" ax:value="3466;767"/>
  <ax:ocxPr ax:name="FontName" ax:value="Cambria"/>
  <ax:ocxPr ax:name="FontHeight" ax:value="195"/>
  <ax:ocxPr ax:name="FontCharSet" ax:value="0"/>
  <ax:ocxPr ax:name="FontPitchAndFamily" ax:value="2"/>
  <ax:ocxPr ax:name="ParagraphAlign" ax:value="3"/>
</ax:ocx>
</file>

<file path=xl/activeX/activeX16.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Token Manual"/>
  <ax:ocxPr ax:name="Size" ax:value="3466;767"/>
  <ax:ocxPr ax:name="FontName" ax:value="Cambria"/>
  <ax:ocxPr ax:name="FontHeight" ax:value="195"/>
  <ax:ocxPr ax:name="FontCharSet" ax:value="0"/>
  <ax:ocxPr ax:name="FontPitchAndFamily" ax:value="2"/>
  <ax:ocxPr ax:name="ParagraphAlign" ax:value="3"/>
</ax:ocx>
</file>

<file path=xl/activeX/activeX17.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Modify Order"/>
  <ax:ocxPr ax:name="Size" ax:value="3466;767"/>
  <ax:ocxPr ax:name="FontName" ax:value="Cambria"/>
  <ax:ocxPr ax:name="FontHeight" ax:value="195"/>
  <ax:ocxPr ax:name="FontCharSet" ax:value="0"/>
  <ax:ocxPr ax:name="FontPitchAndFamily" ax:value="2"/>
  <ax:ocxPr ax:name="ParagraphAlign" ax:value="3"/>
</ax:ocx>
</file>

<file path=xl/activeX/activeX18.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Calculate Excel"/>
  <ax:ocxPr ax:name="Size" ax:value="3466;767"/>
  <ax:ocxPr ax:name="FontName" ax:value="Cambria"/>
  <ax:ocxPr ax:name="FontHeight" ax:value="195"/>
  <ax:ocxPr ax:name="FontCharSet" ax:value="0"/>
  <ax:ocxPr ax:name="FontPitchAndFamily" ax:value="2"/>
  <ax:ocxPr ax:name="ParagraphAlign" ax:value="3"/>
</ax:ocx>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1.xml"/><Relationship Id="rId18" Type="http://schemas.openxmlformats.org/officeDocument/2006/relationships/control" Target="../activeX/activeX16.xml"/><Relationship Id="rId3" Type="http://schemas.openxmlformats.org/officeDocument/2006/relationships/control" Target="../activeX/activeX1.xml"/><Relationship Id="rId7" Type="http://schemas.openxmlformats.org/officeDocument/2006/relationships/control" Target="../activeX/activeX5.xml"/><Relationship Id="rId12" Type="http://schemas.openxmlformats.org/officeDocument/2006/relationships/control" Target="../activeX/activeX10.xml"/><Relationship Id="rId17" Type="http://schemas.openxmlformats.org/officeDocument/2006/relationships/control" Target="../activeX/activeX15.xml"/><Relationship Id="rId2" Type="http://schemas.openxmlformats.org/officeDocument/2006/relationships/vmlDrawing" Target="../drawings/vmlDrawing1.vml"/><Relationship Id="rId16" Type="http://schemas.openxmlformats.org/officeDocument/2006/relationships/control" Target="../activeX/activeX14.xml"/><Relationship Id="rId20" Type="http://schemas.openxmlformats.org/officeDocument/2006/relationships/control" Target="../activeX/activeX18.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ntrol" Target="../activeX/activeX9.xml"/><Relationship Id="rId5" Type="http://schemas.openxmlformats.org/officeDocument/2006/relationships/control" Target="../activeX/activeX3.xml"/><Relationship Id="rId15" Type="http://schemas.openxmlformats.org/officeDocument/2006/relationships/control" Target="../activeX/activeX13.xml"/><Relationship Id="rId10" Type="http://schemas.openxmlformats.org/officeDocument/2006/relationships/control" Target="../activeX/activeX8.xml"/><Relationship Id="rId19" Type="http://schemas.openxmlformats.org/officeDocument/2006/relationships/control" Target="../activeX/activeX17.xml"/><Relationship Id="rId4" Type="http://schemas.openxmlformats.org/officeDocument/2006/relationships/control" Target="../activeX/activeX2.xml"/><Relationship Id="rId9" Type="http://schemas.openxmlformats.org/officeDocument/2006/relationships/control" Target="../activeX/activeX7.xml"/><Relationship Id="rId14" Type="http://schemas.openxmlformats.org/officeDocument/2006/relationships/control" Target="../activeX/activeX1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2"/>
  <dimension ref="A1:AB324"/>
  <sheetViews>
    <sheetView showGridLines="0" tabSelected="1" workbookViewId="0">
      <selection activeCell="B1" sqref="B1"/>
    </sheetView>
  </sheetViews>
  <sheetFormatPr defaultColWidth="0" defaultRowHeight="14.25" zeroHeight="1"/>
  <cols>
    <col min="1" max="1" width="1.7109375" style="1" customWidth="1"/>
    <col min="2" max="2" width="40.5703125" style="1" customWidth="1"/>
    <col min="3" max="3" width="1.7109375" style="1" customWidth="1"/>
    <col min="4" max="4" width="9.7109375" style="1" customWidth="1"/>
    <col min="5" max="27" width="9.140625" style="1" customWidth="1"/>
    <col min="28" max="28" width="2.7109375" style="1" customWidth="1"/>
    <col min="29" max="16384" width="9.140625" style="1" hidden="1"/>
  </cols>
  <sheetData>
    <row r="1" spans="2:28">
      <c r="B1" s="19" t="s">
        <v>2</v>
      </c>
      <c r="D1" s="24"/>
      <c r="E1" s="25"/>
      <c r="F1" s="25"/>
      <c r="G1" s="25"/>
      <c r="H1" s="25"/>
      <c r="I1" s="25"/>
      <c r="J1" s="25"/>
      <c r="K1" s="25"/>
      <c r="L1" s="25"/>
      <c r="M1" s="25"/>
      <c r="N1" s="25"/>
      <c r="O1" s="25"/>
      <c r="P1" s="25"/>
      <c r="Q1" s="25"/>
      <c r="R1" s="25"/>
      <c r="S1" s="25"/>
      <c r="T1" s="25"/>
      <c r="U1" s="25"/>
      <c r="V1" s="25"/>
      <c r="W1" s="25"/>
      <c r="X1" s="25"/>
      <c r="Y1" s="25"/>
      <c r="Z1" s="25"/>
      <c r="AA1" s="26"/>
      <c r="AB1" s="1" t="s">
        <v>1</v>
      </c>
    </row>
    <row r="2" spans="2:28">
      <c r="B2" s="21"/>
      <c r="D2" s="18" t="s">
        <v>0</v>
      </c>
      <c r="E2" s="18"/>
      <c r="F2" s="18"/>
      <c r="G2" s="18"/>
      <c r="H2" s="18"/>
      <c r="I2" s="18"/>
      <c r="J2" s="18"/>
      <c r="K2" s="18"/>
      <c r="L2" s="18"/>
      <c r="M2" s="18"/>
      <c r="N2" s="18"/>
      <c r="O2" s="18"/>
      <c r="P2" s="18"/>
      <c r="Q2" s="18"/>
      <c r="R2" s="18"/>
      <c r="S2" s="18"/>
      <c r="T2" s="18"/>
      <c r="U2" s="18"/>
      <c r="V2" s="18"/>
      <c r="W2" s="18"/>
      <c r="X2" s="18"/>
      <c r="Y2" s="18"/>
      <c r="Z2" s="18"/>
      <c r="AA2" s="18"/>
      <c r="AB2" s="1" t="s">
        <v>1</v>
      </c>
    </row>
    <row r="3" spans="2:28">
      <c r="B3" s="22"/>
      <c r="D3" s="2" t="str">
        <f>IF($D$1="ORDER BOOK",GetActionStrOrder(X3, H3, T3),IF($D$1="POSITIONS",GetActionStrPosition(F3, S3),IF(E3="","","")))</f>
        <v/>
      </c>
      <c r="E3" s="3"/>
      <c r="F3" s="3"/>
      <c r="G3" s="3"/>
      <c r="H3" s="3"/>
      <c r="I3" s="3"/>
      <c r="J3" s="3"/>
      <c r="K3" s="3"/>
      <c r="L3" s="3"/>
      <c r="M3" s="3"/>
      <c r="N3" s="3"/>
      <c r="O3" s="3"/>
      <c r="P3" s="3"/>
      <c r="Q3" s="3"/>
      <c r="R3" s="3"/>
      <c r="S3" s="3"/>
      <c r="T3" s="3"/>
      <c r="U3" s="3"/>
      <c r="V3" s="3"/>
      <c r="W3" s="3"/>
      <c r="X3" s="3"/>
      <c r="Y3" s="3"/>
      <c r="Z3" s="3"/>
      <c r="AA3" s="3"/>
      <c r="AB3" s="1" t="s">
        <v>1</v>
      </c>
    </row>
    <row r="4" spans="2:28">
      <c r="B4" s="22"/>
      <c r="D4" s="2" t="str">
        <f>IF($D$1="ORDER BOOK",GetActionStrOrder(X4, H4, T4),IF($D$1="POSITIONS",GetActionStrPosition(F4, S4),IF(E4="","","")))</f>
        <v/>
      </c>
      <c r="E4" s="3"/>
      <c r="F4" s="3"/>
      <c r="G4" s="3"/>
      <c r="H4" s="3"/>
      <c r="I4" s="3"/>
      <c r="J4" s="3"/>
      <c r="K4" s="3"/>
      <c r="L4" s="3"/>
      <c r="M4" s="3"/>
      <c r="N4" s="3"/>
      <c r="O4" s="3"/>
      <c r="P4" s="3"/>
      <c r="Q4" s="3"/>
      <c r="R4" s="3"/>
      <c r="S4" s="3"/>
      <c r="T4" s="3"/>
      <c r="U4" s="3"/>
      <c r="V4" s="3"/>
      <c r="W4" s="3"/>
      <c r="X4" s="3"/>
      <c r="Y4" s="3"/>
      <c r="Z4" s="3"/>
      <c r="AA4" s="3"/>
      <c r="AB4" s="1" t="s">
        <v>1</v>
      </c>
    </row>
    <row r="5" spans="2:28">
      <c r="B5" s="22"/>
      <c r="D5" s="2" t="str">
        <f>IF($D$1="ORDER BOOK",GetActionStrOrder(X5, H5, T5),IF($D$1="POSITIONS",GetActionStrPosition(F5, S5),IF(E5="","","")))</f>
        <v/>
      </c>
      <c r="E5" s="3"/>
      <c r="F5" s="3"/>
      <c r="G5" s="3"/>
      <c r="H5" s="3"/>
      <c r="I5" s="3"/>
      <c r="J5" s="3"/>
      <c r="K5" s="3"/>
      <c r="L5" s="3"/>
      <c r="M5" s="3"/>
      <c r="N5" s="3"/>
      <c r="O5" s="3"/>
      <c r="P5" s="3"/>
      <c r="Q5" s="3"/>
      <c r="R5" s="3"/>
      <c r="S5" s="3"/>
      <c r="T5" s="3"/>
      <c r="U5" s="3"/>
      <c r="V5" s="3"/>
      <c r="W5" s="3"/>
      <c r="X5" s="3"/>
      <c r="Y5" s="3"/>
      <c r="Z5" s="3"/>
      <c r="AA5" s="3"/>
      <c r="AB5" s="1" t="s">
        <v>1</v>
      </c>
    </row>
    <row r="6" spans="2:28">
      <c r="B6" s="22"/>
      <c r="D6" s="2" t="str">
        <f>IF($D$1="ORDER BOOK",GetActionStrOrder(X6, H6, T6),IF($D$1="POSITIONS",GetActionStrPosition(F6, S6),IF(E6="","","")))</f>
        <v/>
      </c>
      <c r="E6" s="3"/>
      <c r="F6" s="3"/>
      <c r="G6" s="3"/>
      <c r="H6" s="3"/>
      <c r="I6" s="3"/>
      <c r="J6" s="3"/>
      <c r="K6" s="3"/>
      <c r="L6" s="3"/>
      <c r="M6" s="3"/>
      <c r="N6" s="3"/>
      <c r="O6" s="3"/>
      <c r="P6" s="3"/>
      <c r="Q6" s="3"/>
      <c r="R6" s="3"/>
      <c r="S6" s="3"/>
      <c r="T6" s="3"/>
      <c r="U6" s="3"/>
      <c r="V6" s="3"/>
      <c r="W6" s="3"/>
      <c r="X6" s="3"/>
      <c r="Y6" s="3"/>
      <c r="Z6" s="3"/>
      <c r="AA6" s="3"/>
      <c r="AB6" s="1" t="s">
        <v>1</v>
      </c>
    </row>
    <row r="7" spans="2:28">
      <c r="B7" s="22"/>
      <c r="D7" s="2" t="str">
        <f>IF($D$1="ORDER BOOK",GetActionStrOrder(X7, H7, T7),IF($D$1="POSITIONS",GetActionStrPosition(F7, S7),IF(E7="","","")))</f>
        <v/>
      </c>
      <c r="E7" s="3"/>
      <c r="F7" s="3"/>
      <c r="G7" s="3"/>
      <c r="H7" s="3"/>
      <c r="I7" s="3"/>
      <c r="J7" s="3"/>
      <c r="K7" s="3"/>
      <c r="L7" s="3"/>
      <c r="M7" s="3"/>
      <c r="N7" s="3"/>
      <c r="O7" s="3"/>
      <c r="P7" s="3"/>
      <c r="Q7" s="3"/>
      <c r="R7" s="3"/>
      <c r="S7" s="3"/>
      <c r="T7" s="3"/>
      <c r="U7" s="3"/>
      <c r="V7" s="3"/>
      <c r="W7" s="3"/>
      <c r="X7" s="3"/>
      <c r="Y7" s="3"/>
      <c r="Z7" s="3"/>
      <c r="AA7" s="3"/>
      <c r="AB7" s="1" t="s">
        <v>1</v>
      </c>
    </row>
    <row r="8" spans="2:28">
      <c r="B8" s="22"/>
      <c r="D8" s="2" t="str">
        <f>IF($D$1="ORDER BOOK",GetActionStrOrder(X8, H8, T8),IF($D$1="POSITIONS",GetActionStrPosition(F8, S8),IF(E8="","","")))</f>
        <v/>
      </c>
      <c r="E8" s="3"/>
      <c r="F8" s="3"/>
      <c r="G8" s="3"/>
      <c r="H8" s="3"/>
      <c r="I8" s="3"/>
      <c r="J8" s="3"/>
      <c r="K8" s="3"/>
      <c r="L8" s="3"/>
      <c r="M8" s="3"/>
      <c r="N8" s="3"/>
      <c r="O8" s="3"/>
      <c r="P8" s="3"/>
      <c r="Q8" s="3"/>
      <c r="R8" s="3"/>
      <c r="S8" s="3"/>
      <c r="T8" s="3"/>
      <c r="U8" s="3"/>
      <c r="V8" s="3"/>
      <c r="W8" s="3"/>
      <c r="X8" s="3"/>
      <c r="Y8" s="3"/>
      <c r="Z8" s="3"/>
      <c r="AA8" s="3"/>
      <c r="AB8" s="1" t="s">
        <v>1</v>
      </c>
    </row>
    <row r="9" spans="2:28">
      <c r="B9" s="22"/>
      <c r="D9" s="2" t="str">
        <f>IF($D$1="ORDER BOOK",GetActionStrOrder(X9, H9, T9),IF($D$1="POSITIONS",GetActionStrPosition(F9, S9),IF(E9="","","")))</f>
        <v/>
      </c>
      <c r="E9" s="3"/>
      <c r="F9" s="3"/>
      <c r="G9" s="3"/>
      <c r="H9" s="3"/>
      <c r="I9" s="3"/>
      <c r="J9" s="3"/>
      <c r="K9" s="3"/>
      <c r="L9" s="3"/>
      <c r="M9" s="3"/>
      <c r="N9" s="3"/>
      <c r="O9" s="3"/>
      <c r="P9" s="3"/>
      <c r="Q9" s="3"/>
      <c r="R9" s="3"/>
      <c r="S9" s="3"/>
      <c r="T9" s="3"/>
      <c r="U9" s="3"/>
      <c r="V9" s="3"/>
      <c r="W9" s="3"/>
      <c r="X9" s="3"/>
      <c r="Y9" s="3"/>
      <c r="Z9" s="3"/>
      <c r="AA9" s="3"/>
      <c r="AB9" s="1" t="s">
        <v>1</v>
      </c>
    </row>
    <row r="10" spans="2:28">
      <c r="B10" s="22"/>
      <c r="D10" s="2" t="str">
        <f>IF($D$1="ORDER BOOK",GetActionStrOrder(X10, H10, T10),IF($D$1="POSITIONS",GetActionStrPosition(F10, S10),IF(E10="","","")))</f>
        <v/>
      </c>
      <c r="E10" s="3"/>
      <c r="F10" s="3"/>
      <c r="G10" s="3"/>
      <c r="H10" s="3"/>
      <c r="I10" s="3"/>
      <c r="J10" s="3"/>
      <c r="K10" s="3"/>
      <c r="L10" s="3"/>
      <c r="M10" s="3"/>
      <c r="N10" s="3"/>
      <c r="O10" s="3"/>
      <c r="P10" s="3"/>
      <c r="Q10" s="3"/>
      <c r="R10" s="3"/>
      <c r="S10" s="3"/>
      <c r="T10" s="3"/>
      <c r="U10" s="3"/>
      <c r="V10" s="3"/>
      <c r="W10" s="3"/>
      <c r="X10" s="3"/>
      <c r="Y10" s="3"/>
      <c r="Z10" s="3"/>
      <c r="AA10" s="3"/>
      <c r="AB10" s="1" t="s">
        <v>1</v>
      </c>
    </row>
    <row r="11" spans="2:28">
      <c r="B11" s="22"/>
      <c r="D11" s="2" t="str">
        <f>IF($D$1="ORDER BOOK",GetActionStrOrder(X11, H11, T11),IF($D$1="POSITIONS",GetActionStrPosition(F11, S11),IF(E11="","","")))</f>
        <v/>
      </c>
      <c r="E11" s="3"/>
      <c r="F11" s="3"/>
      <c r="G11" s="3"/>
      <c r="H11" s="3"/>
      <c r="I11" s="3"/>
      <c r="J11" s="3"/>
      <c r="K11" s="3"/>
      <c r="L11" s="3"/>
      <c r="M11" s="3"/>
      <c r="N11" s="3"/>
      <c r="O11" s="3"/>
      <c r="P11" s="3"/>
      <c r="Q11" s="3"/>
      <c r="R11" s="3"/>
      <c r="S11" s="3"/>
      <c r="T11" s="3"/>
      <c r="U11" s="3"/>
      <c r="V11" s="3"/>
      <c r="W11" s="3"/>
      <c r="X11" s="3"/>
      <c r="Y11" s="3"/>
      <c r="Z11" s="3"/>
      <c r="AA11" s="3"/>
      <c r="AB11" s="1" t="s">
        <v>1</v>
      </c>
    </row>
    <row r="12" spans="2:28">
      <c r="B12" s="22"/>
      <c r="D12" s="2" t="str">
        <f>IF($D$1="ORDER BOOK",GetActionStrOrder(X12, H12, T12),IF($D$1="POSITIONS",GetActionStrPosition(F12, S12),IF(E12="","","")))</f>
        <v/>
      </c>
      <c r="E12" s="3"/>
      <c r="F12" s="3"/>
      <c r="G12" s="3"/>
      <c r="H12" s="3"/>
      <c r="I12" s="3"/>
      <c r="J12" s="3"/>
      <c r="K12" s="3"/>
      <c r="L12" s="3"/>
      <c r="M12" s="3"/>
      <c r="N12" s="3"/>
      <c r="O12" s="3"/>
      <c r="P12" s="3"/>
      <c r="Q12" s="3"/>
      <c r="R12" s="3"/>
      <c r="S12" s="3"/>
      <c r="T12" s="3"/>
      <c r="U12" s="3"/>
      <c r="V12" s="3"/>
      <c r="W12" s="3"/>
      <c r="X12" s="3"/>
      <c r="Y12" s="3"/>
      <c r="Z12" s="3"/>
      <c r="AA12" s="3"/>
      <c r="AB12" s="1" t="s">
        <v>1</v>
      </c>
    </row>
    <row r="13" spans="2:28">
      <c r="B13" s="22"/>
      <c r="D13" s="2" t="str">
        <f>IF($D$1="ORDER BOOK",GetActionStrOrder(X13, H13, T13),IF($D$1="POSITIONS",GetActionStrPosition(F13, S13),IF(E13="","","")))</f>
        <v/>
      </c>
      <c r="E13" s="3"/>
      <c r="F13" s="3"/>
      <c r="G13" s="3"/>
      <c r="H13" s="3"/>
      <c r="I13" s="3"/>
      <c r="J13" s="3"/>
      <c r="K13" s="3"/>
      <c r="L13" s="3"/>
      <c r="M13" s="3"/>
      <c r="N13" s="3"/>
      <c r="O13" s="3"/>
      <c r="P13" s="3"/>
      <c r="Q13" s="3"/>
      <c r="R13" s="3"/>
      <c r="S13" s="3"/>
      <c r="T13" s="3"/>
      <c r="U13" s="3"/>
      <c r="V13" s="3"/>
      <c r="W13" s="3"/>
      <c r="X13" s="3"/>
      <c r="Y13" s="3"/>
      <c r="Z13" s="3"/>
      <c r="AA13" s="3"/>
      <c r="AB13" s="1" t="s">
        <v>1</v>
      </c>
    </row>
    <row r="14" spans="2:28">
      <c r="B14" s="22"/>
      <c r="D14" s="2" t="str">
        <f>IF($D$1="ORDER BOOK",GetActionStrOrder(X14, H14, T14),IF($D$1="POSITIONS",GetActionStrPosition(F14, S14),IF(E14="","","")))</f>
        <v/>
      </c>
      <c r="E14" s="3"/>
      <c r="F14" s="3"/>
      <c r="G14" s="3"/>
      <c r="H14" s="3"/>
      <c r="I14" s="3"/>
      <c r="J14" s="3"/>
      <c r="K14" s="3"/>
      <c r="L14" s="3"/>
      <c r="M14" s="3"/>
      <c r="N14" s="3"/>
      <c r="O14" s="3"/>
      <c r="P14" s="3"/>
      <c r="Q14" s="3"/>
      <c r="R14" s="3"/>
      <c r="S14" s="3"/>
      <c r="T14" s="3"/>
      <c r="U14" s="3"/>
      <c r="V14" s="3"/>
      <c r="W14" s="3"/>
      <c r="X14" s="3"/>
      <c r="Y14" s="3"/>
      <c r="Z14" s="3"/>
      <c r="AA14" s="3"/>
      <c r="AB14" s="1" t="s">
        <v>1</v>
      </c>
    </row>
    <row r="15" spans="2:28">
      <c r="B15" s="22"/>
      <c r="D15" s="2" t="str">
        <f>IF($D$1="ORDER BOOK",GetActionStrOrder(X15, H15, T15),IF($D$1="POSITIONS",GetActionStrPosition(F15, S15),IF(E15="","","")))</f>
        <v/>
      </c>
      <c r="E15" s="3"/>
      <c r="F15" s="3"/>
      <c r="G15" s="3"/>
      <c r="H15" s="3"/>
      <c r="I15" s="3"/>
      <c r="J15" s="3"/>
      <c r="K15" s="3"/>
      <c r="L15" s="3"/>
      <c r="M15" s="3"/>
      <c r="N15" s="3"/>
      <c r="O15" s="3"/>
      <c r="P15" s="3"/>
      <c r="Q15" s="3"/>
      <c r="R15" s="3"/>
      <c r="S15" s="3"/>
      <c r="T15" s="3"/>
      <c r="U15" s="3"/>
      <c r="V15" s="3"/>
      <c r="W15" s="3"/>
      <c r="X15" s="3"/>
      <c r="Y15" s="3"/>
      <c r="Z15" s="3"/>
      <c r="AA15" s="3"/>
      <c r="AB15" s="1" t="s">
        <v>1</v>
      </c>
    </row>
    <row r="16" spans="2:28">
      <c r="B16" s="22"/>
      <c r="D16" s="2" t="str">
        <f>IF($D$1="ORDER BOOK",GetActionStrOrder(X16, H16, T16),IF($D$1="POSITIONS",GetActionStrPosition(F16, S16),IF(E16="","","")))</f>
        <v/>
      </c>
      <c r="E16" s="3"/>
      <c r="F16" s="3"/>
      <c r="G16" s="3"/>
      <c r="H16" s="3"/>
      <c r="I16" s="3"/>
      <c r="J16" s="3"/>
      <c r="K16" s="3"/>
      <c r="L16" s="3"/>
      <c r="M16" s="3"/>
      <c r="N16" s="3"/>
      <c r="O16" s="3"/>
      <c r="P16" s="3"/>
      <c r="Q16" s="3"/>
      <c r="R16" s="3"/>
      <c r="S16" s="3"/>
      <c r="T16" s="3"/>
      <c r="U16" s="3"/>
      <c r="V16" s="3"/>
      <c r="W16" s="3"/>
      <c r="X16" s="3"/>
      <c r="Y16" s="3"/>
      <c r="Z16" s="3"/>
      <c r="AA16" s="3"/>
      <c r="AB16" s="1" t="s">
        <v>1</v>
      </c>
    </row>
    <row r="17" spans="2:28">
      <c r="B17" s="22"/>
      <c r="D17" s="2" t="str">
        <f>IF($D$1="ORDER BOOK",GetActionStrOrder(X17, H17, T17),IF($D$1="POSITIONS",GetActionStrPosition(F17, S17),IF(E17="","","")))</f>
        <v/>
      </c>
      <c r="E17" s="3"/>
      <c r="F17" s="3"/>
      <c r="G17" s="3"/>
      <c r="H17" s="3"/>
      <c r="I17" s="3"/>
      <c r="J17" s="3"/>
      <c r="K17" s="3"/>
      <c r="L17" s="3"/>
      <c r="M17" s="3"/>
      <c r="N17" s="3"/>
      <c r="O17" s="3"/>
      <c r="P17" s="3"/>
      <c r="Q17" s="3"/>
      <c r="R17" s="3"/>
      <c r="S17" s="3"/>
      <c r="T17" s="3"/>
      <c r="U17" s="3"/>
      <c r="V17" s="3"/>
      <c r="W17" s="3"/>
      <c r="X17" s="3"/>
      <c r="Y17" s="3"/>
      <c r="Z17" s="3"/>
      <c r="AA17" s="3"/>
      <c r="AB17" s="1" t="s">
        <v>1</v>
      </c>
    </row>
    <row r="18" spans="2:28">
      <c r="B18" s="22"/>
      <c r="D18" s="2" t="str">
        <f>IF($D$1="ORDER BOOK",GetActionStrOrder(X18, H18, T18),IF($D$1="POSITIONS",GetActionStrPosition(F18, S18),IF(E18="","","")))</f>
        <v/>
      </c>
      <c r="E18" s="3"/>
      <c r="F18" s="3"/>
      <c r="G18" s="3"/>
      <c r="H18" s="3"/>
      <c r="I18" s="3"/>
      <c r="J18" s="3"/>
      <c r="K18" s="3"/>
      <c r="L18" s="3"/>
      <c r="M18" s="3"/>
      <c r="N18" s="3"/>
      <c r="O18" s="3"/>
      <c r="P18" s="3"/>
      <c r="Q18" s="3"/>
      <c r="R18" s="3"/>
      <c r="S18" s="3"/>
      <c r="T18" s="3"/>
      <c r="U18" s="3"/>
      <c r="V18" s="3"/>
      <c r="W18" s="3"/>
      <c r="X18" s="3"/>
      <c r="Y18" s="3"/>
      <c r="Z18" s="3"/>
      <c r="AA18" s="3"/>
      <c r="AB18" s="1" t="s">
        <v>1</v>
      </c>
    </row>
    <row r="19" spans="2:28">
      <c r="B19" s="22"/>
      <c r="D19" s="2" t="str">
        <f>IF($D$1="ORDER BOOK",GetActionStrOrder(X19, H19, T19),IF($D$1="POSITIONS",GetActionStrPosition(F19, S19),IF(E19="","","")))</f>
        <v/>
      </c>
      <c r="E19" s="3"/>
      <c r="F19" s="3"/>
      <c r="G19" s="3"/>
      <c r="H19" s="3"/>
      <c r="I19" s="3"/>
      <c r="J19" s="3"/>
      <c r="K19" s="3"/>
      <c r="L19" s="3"/>
      <c r="M19" s="3"/>
      <c r="N19" s="3"/>
      <c r="O19" s="3"/>
      <c r="P19" s="3"/>
      <c r="Q19" s="3"/>
      <c r="R19" s="3"/>
      <c r="S19" s="3"/>
      <c r="T19" s="3"/>
      <c r="U19" s="3"/>
      <c r="V19" s="3"/>
      <c r="W19" s="3"/>
      <c r="X19" s="3"/>
      <c r="Y19" s="3"/>
      <c r="Z19" s="3"/>
      <c r="AA19" s="3"/>
      <c r="AB19" s="1" t="s">
        <v>1</v>
      </c>
    </row>
    <row r="20" spans="2:28">
      <c r="B20" s="22"/>
      <c r="D20" s="2" t="str">
        <f>IF($D$1="ORDER BOOK",GetActionStrOrder(X20, H20, T20),IF($D$1="POSITIONS",GetActionStrPosition(F20, S20),IF(E20="","","")))</f>
        <v/>
      </c>
      <c r="E20" s="3"/>
      <c r="F20" s="3"/>
      <c r="G20" s="3"/>
      <c r="H20" s="3"/>
      <c r="I20" s="3"/>
      <c r="J20" s="3"/>
      <c r="K20" s="3"/>
      <c r="L20" s="3"/>
      <c r="M20" s="3"/>
      <c r="N20" s="3"/>
      <c r="O20" s="3"/>
      <c r="P20" s="3"/>
      <c r="Q20" s="3"/>
      <c r="R20" s="3"/>
      <c r="S20" s="3"/>
      <c r="T20" s="3"/>
      <c r="U20" s="3"/>
      <c r="V20" s="3"/>
      <c r="W20" s="3"/>
      <c r="X20" s="3"/>
      <c r="Y20" s="3"/>
      <c r="Z20" s="3"/>
      <c r="AA20" s="3"/>
      <c r="AB20" s="1" t="s">
        <v>1</v>
      </c>
    </row>
    <row r="21" spans="2:28">
      <c r="B21" s="22"/>
      <c r="D21" s="2" t="str">
        <f>IF($D$1="ORDER BOOK",GetActionStrOrder(X21, H21, T21),IF($D$1="POSITIONS",GetActionStrPosition(F21, S21),IF(E21="","","")))</f>
        <v/>
      </c>
      <c r="E21" s="3"/>
      <c r="F21" s="3"/>
      <c r="G21" s="3"/>
      <c r="H21" s="3"/>
      <c r="I21" s="3"/>
      <c r="J21" s="3"/>
      <c r="K21" s="3"/>
      <c r="L21" s="3"/>
      <c r="M21" s="3"/>
      <c r="N21" s="3"/>
      <c r="O21" s="3"/>
      <c r="P21" s="3"/>
      <c r="Q21" s="3"/>
      <c r="R21" s="3"/>
      <c r="S21" s="3"/>
      <c r="T21" s="3"/>
      <c r="U21" s="3"/>
      <c r="V21" s="3"/>
      <c r="W21" s="3"/>
      <c r="X21" s="3"/>
      <c r="Y21" s="3"/>
      <c r="Z21" s="3"/>
      <c r="AA21" s="3"/>
      <c r="AB21" s="1" t="s">
        <v>1</v>
      </c>
    </row>
    <row r="22" spans="2:28">
      <c r="B22" s="22"/>
      <c r="D22" s="2" t="str">
        <f>IF($D$1="ORDER BOOK",GetActionStrOrder(X22, H22, T22),IF($D$1="POSITIONS",GetActionStrPosition(F22, S22),IF(E22="","","")))</f>
        <v/>
      </c>
      <c r="E22" s="3"/>
      <c r="F22" s="3"/>
      <c r="G22" s="3"/>
      <c r="H22" s="3"/>
      <c r="I22" s="3"/>
      <c r="J22" s="3"/>
      <c r="K22" s="3"/>
      <c r="L22" s="3"/>
      <c r="M22" s="3"/>
      <c r="N22" s="3"/>
      <c r="O22" s="3"/>
      <c r="P22" s="3"/>
      <c r="Q22" s="3"/>
      <c r="R22" s="3"/>
      <c r="S22" s="3"/>
      <c r="T22" s="3"/>
      <c r="U22" s="3"/>
      <c r="V22" s="3"/>
      <c r="W22" s="3"/>
      <c r="X22" s="3"/>
      <c r="Y22" s="3"/>
      <c r="Z22" s="3"/>
      <c r="AA22" s="3"/>
      <c r="AB22" s="1" t="s">
        <v>1</v>
      </c>
    </row>
    <row r="23" spans="2:28">
      <c r="B23" s="22"/>
      <c r="D23" s="2" t="str">
        <f>IF($D$1="ORDER BOOK",GetActionStrOrder(X23, H23, T23),IF($D$1="POSITIONS",GetActionStrPosition(F23, S23),IF(E23="","","")))</f>
        <v/>
      </c>
      <c r="E23" s="3"/>
      <c r="F23" s="3"/>
      <c r="G23" s="3"/>
      <c r="H23" s="3"/>
      <c r="I23" s="3"/>
      <c r="J23" s="3"/>
      <c r="K23" s="3"/>
      <c r="L23" s="3"/>
      <c r="M23" s="3"/>
      <c r="N23" s="3"/>
      <c r="O23" s="3"/>
      <c r="P23" s="3"/>
      <c r="Q23" s="3"/>
      <c r="R23" s="3"/>
      <c r="S23" s="3"/>
      <c r="T23" s="3"/>
      <c r="U23" s="3"/>
      <c r="V23" s="3"/>
      <c r="W23" s="3"/>
      <c r="X23" s="3"/>
      <c r="Y23" s="3"/>
      <c r="Z23" s="3"/>
      <c r="AA23" s="3"/>
      <c r="AB23" s="1" t="s">
        <v>1</v>
      </c>
    </row>
    <row r="24" spans="2:28">
      <c r="B24" s="22"/>
      <c r="D24" s="2" t="str">
        <f>IF($D$1="ORDER BOOK",GetActionStrOrder(X24, H24, T24),IF($D$1="POSITIONS",GetActionStrPosition(F24, S24),IF(E24="","","")))</f>
        <v/>
      </c>
      <c r="E24" s="3"/>
      <c r="F24" s="3"/>
      <c r="G24" s="3"/>
      <c r="H24" s="3"/>
      <c r="I24" s="3"/>
      <c r="J24" s="3"/>
      <c r="K24" s="3"/>
      <c r="L24" s="3"/>
      <c r="M24" s="3"/>
      <c r="N24" s="3"/>
      <c r="O24" s="3"/>
      <c r="P24" s="3"/>
      <c r="Q24" s="3"/>
      <c r="R24" s="3"/>
      <c r="S24" s="3"/>
      <c r="T24" s="3"/>
      <c r="U24" s="3"/>
      <c r="V24" s="3"/>
      <c r="W24" s="3"/>
      <c r="X24" s="3"/>
      <c r="Y24" s="3"/>
      <c r="Z24" s="3"/>
      <c r="AA24" s="3"/>
      <c r="AB24" s="1" t="s">
        <v>1</v>
      </c>
    </row>
    <row r="25" spans="2:28">
      <c r="B25" s="22"/>
      <c r="D25" s="2" t="str">
        <f>IF($D$1="ORDER BOOK",GetActionStrOrder(X25, H25, T25),IF($D$1="POSITIONS",GetActionStrPosition(F25, S25),IF(E25="","","")))</f>
        <v/>
      </c>
      <c r="E25" s="3"/>
      <c r="F25" s="3"/>
      <c r="G25" s="3"/>
      <c r="H25" s="3"/>
      <c r="I25" s="3"/>
      <c r="J25" s="3"/>
      <c r="K25" s="3"/>
      <c r="L25" s="3"/>
      <c r="M25" s="3"/>
      <c r="N25" s="3"/>
      <c r="O25" s="3"/>
      <c r="P25" s="3"/>
      <c r="Q25" s="3"/>
      <c r="R25" s="3"/>
      <c r="S25" s="3"/>
      <c r="T25" s="3"/>
      <c r="U25" s="3"/>
      <c r="V25" s="3"/>
      <c r="W25" s="3"/>
      <c r="X25" s="3"/>
      <c r="Y25" s="3"/>
      <c r="Z25" s="3"/>
      <c r="AA25" s="3"/>
      <c r="AB25" s="1" t="s">
        <v>1</v>
      </c>
    </row>
    <row r="26" spans="2:28">
      <c r="B26" s="22"/>
      <c r="D26" s="2" t="str">
        <f>IF($D$1="ORDER BOOK",GetActionStrOrder(X26, H26, T26),IF($D$1="POSITIONS",GetActionStrPosition(F26, S26),IF(E26="","","")))</f>
        <v/>
      </c>
      <c r="E26" s="3"/>
      <c r="F26" s="3"/>
      <c r="G26" s="3"/>
      <c r="H26" s="3"/>
      <c r="I26" s="3"/>
      <c r="J26" s="3"/>
      <c r="K26" s="3"/>
      <c r="L26" s="3"/>
      <c r="M26" s="3"/>
      <c r="N26" s="3"/>
      <c r="O26" s="3"/>
      <c r="P26" s="3"/>
      <c r="Q26" s="3"/>
      <c r="R26" s="3"/>
      <c r="S26" s="3"/>
      <c r="T26" s="3"/>
      <c r="U26" s="3"/>
      <c r="V26" s="3"/>
      <c r="W26" s="3"/>
      <c r="X26" s="3"/>
      <c r="Y26" s="3"/>
      <c r="Z26" s="3"/>
      <c r="AA26" s="3"/>
      <c r="AB26" s="1" t="s">
        <v>1</v>
      </c>
    </row>
    <row r="27" spans="2:28">
      <c r="B27" s="22"/>
      <c r="D27" s="2" t="str">
        <f>IF($D$1="ORDER BOOK",GetActionStrOrder(X27, H27, T27),IF($D$1="POSITIONS",GetActionStrPosition(F27, S27),IF(E27="","","")))</f>
        <v/>
      </c>
      <c r="E27" s="3"/>
      <c r="F27" s="3"/>
      <c r="G27" s="3"/>
      <c r="H27" s="3"/>
      <c r="I27" s="3"/>
      <c r="J27" s="3"/>
      <c r="K27" s="3"/>
      <c r="L27" s="3"/>
      <c r="M27" s="3"/>
      <c r="N27" s="3"/>
      <c r="O27" s="3"/>
      <c r="P27" s="3"/>
      <c r="Q27" s="3"/>
      <c r="R27" s="3"/>
      <c r="S27" s="3"/>
      <c r="T27" s="3"/>
      <c r="U27" s="3"/>
      <c r="V27" s="3"/>
      <c r="W27" s="3"/>
      <c r="X27" s="3"/>
      <c r="Y27" s="3"/>
      <c r="Z27" s="3"/>
      <c r="AA27" s="3"/>
      <c r="AB27" s="1" t="s">
        <v>1</v>
      </c>
    </row>
    <row r="28" spans="2:28">
      <c r="B28" s="22"/>
      <c r="D28" s="2" t="str">
        <f>IF($D$1="ORDER BOOK",GetActionStrOrder(X28, H28, T28),IF($D$1="POSITIONS",GetActionStrPosition(F28, S28),IF(E28="","","")))</f>
        <v/>
      </c>
      <c r="E28" s="3"/>
      <c r="F28" s="3"/>
      <c r="G28" s="3"/>
      <c r="H28" s="3"/>
      <c r="I28" s="3"/>
      <c r="J28" s="3"/>
      <c r="K28" s="3"/>
      <c r="L28" s="3"/>
      <c r="M28" s="3"/>
      <c r="N28" s="3"/>
      <c r="O28" s="3"/>
      <c r="P28" s="3"/>
      <c r="Q28" s="3"/>
      <c r="R28" s="3"/>
      <c r="S28" s="3"/>
      <c r="T28" s="3"/>
      <c r="U28" s="3"/>
      <c r="V28" s="3"/>
      <c r="W28" s="3"/>
      <c r="X28" s="3"/>
      <c r="Y28" s="3"/>
      <c r="Z28" s="3"/>
      <c r="AA28" s="3"/>
      <c r="AB28" s="1" t="s">
        <v>1</v>
      </c>
    </row>
    <row r="29" spans="2:28">
      <c r="B29" s="22"/>
      <c r="D29" s="2" t="str">
        <f>IF($D$1="ORDER BOOK",GetActionStrOrder(X29, H29, T29),IF($D$1="POSITIONS",GetActionStrPosition(F29, S29),IF(E29="","","")))</f>
        <v/>
      </c>
      <c r="E29" s="3"/>
      <c r="F29" s="3"/>
      <c r="G29" s="3"/>
      <c r="H29" s="3"/>
      <c r="I29" s="3"/>
      <c r="J29" s="3"/>
      <c r="K29" s="3"/>
      <c r="L29" s="3"/>
      <c r="M29" s="3"/>
      <c r="N29" s="3"/>
      <c r="O29" s="3"/>
      <c r="P29" s="3"/>
      <c r="Q29" s="3"/>
      <c r="R29" s="3"/>
      <c r="S29" s="3"/>
      <c r="T29" s="3"/>
      <c r="U29" s="3"/>
      <c r="V29" s="3"/>
      <c r="W29" s="3"/>
      <c r="X29" s="3"/>
      <c r="Y29" s="3"/>
      <c r="Z29" s="3"/>
      <c r="AA29" s="3"/>
      <c r="AB29" s="1" t="s">
        <v>1</v>
      </c>
    </row>
    <row r="30" spans="2:28">
      <c r="B30" s="22"/>
      <c r="D30" s="2" t="str">
        <f>IF($D$1="ORDER BOOK",GetActionStrOrder(X30, H30, T30),IF($D$1="POSITIONS",GetActionStrPosition(F30, S30),IF(E30="","","")))</f>
        <v/>
      </c>
      <c r="E30" s="3"/>
      <c r="F30" s="3"/>
      <c r="G30" s="3"/>
      <c r="H30" s="3"/>
      <c r="I30" s="3"/>
      <c r="J30" s="3"/>
      <c r="K30" s="3"/>
      <c r="L30" s="3"/>
      <c r="M30" s="3"/>
      <c r="N30" s="3"/>
      <c r="O30" s="3"/>
      <c r="P30" s="3"/>
      <c r="Q30" s="3"/>
      <c r="R30" s="3"/>
      <c r="S30" s="3"/>
      <c r="T30" s="3"/>
      <c r="U30" s="3"/>
      <c r="V30" s="3"/>
      <c r="W30" s="3"/>
      <c r="X30" s="3"/>
      <c r="Y30" s="3"/>
      <c r="Z30" s="3"/>
      <c r="AA30" s="3"/>
      <c r="AB30" s="1" t="s">
        <v>1</v>
      </c>
    </row>
    <row r="31" spans="2:28">
      <c r="B31" s="22"/>
      <c r="D31" s="2" t="str">
        <f>IF($D$1="ORDER BOOK",GetActionStrOrder(X31, H31, T31),IF($D$1="POSITIONS",GetActionStrPosition(F31, S31),IF(E31="","","")))</f>
        <v/>
      </c>
      <c r="E31" s="3"/>
      <c r="F31" s="3"/>
      <c r="G31" s="3"/>
      <c r="H31" s="3"/>
      <c r="I31" s="3"/>
      <c r="J31" s="3"/>
      <c r="K31" s="3"/>
      <c r="L31" s="3"/>
      <c r="M31" s="3"/>
      <c r="N31" s="3"/>
      <c r="O31" s="3"/>
      <c r="P31" s="3"/>
      <c r="Q31" s="3"/>
      <c r="R31" s="3"/>
      <c r="S31" s="3"/>
      <c r="T31" s="3"/>
      <c r="U31" s="3"/>
      <c r="V31" s="3"/>
      <c r="W31" s="3"/>
      <c r="X31" s="3"/>
      <c r="Y31" s="3"/>
      <c r="Z31" s="3"/>
      <c r="AA31" s="3"/>
      <c r="AB31" s="1" t="s">
        <v>1</v>
      </c>
    </row>
    <row r="32" spans="2:28">
      <c r="B32" s="22"/>
      <c r="D32" s="2" t="str">
        <f>IF($D$1="ORDER BOOK",GetActionStrOrder(X32, H32, T32),IF($D$1="POSITIONS",GetActionStrPosition(F32, S32),IF(E32="","","")))</f>
        <v/>
      </c>
      <c r="E32" s="3"/>
      <c r="F32" s="3"/>
      <c r="G32" s="3"/>
      <c r="H32" s="3"/>
      <c r="I32" s="3"/>
      <c r="J32" s="3"/>
      <c r="K32" s="3"/>
      <c r="L32" s="3"/>
      <c r="M32" s="3"/>
      <c r="N32" s="3"/>
      <c r="O32" s="3"/>
      <c r="P32" s="3"/>
      <c r="Q32" s="3"/>
      <c r="R32" s="3"/>
      <c r="S32" s="3"/>
      <c r="T32" s="3"/>
      <c r="U32" s="3"/>
      <c r="V32" s="3"/>
      <c r="W32" s="3"/>
      <c r="X32" s="3"/>
      <c r="Y32" s="3"/>
      <c r="Z32" s="3"/>
      <c r="AA32" s="3"/>
      <c r="AB32" s="1" t="s">
        <v>1</v>
      </c>
    </row>
    <row r="33" spans="2:28">
      <c r="B33" s="22"/>
      <c r="D33" s="2" t="str">
        <f>IF($D$1="ORDER BOOK",GetActionStrOrder(X33, H33, T33),IF($D$1="POSITIONS",GetActionStrPosition(F33, S33),IF(E33="","","")))</f>
        <v/>
      </c>
      <c r="E33" s="3"/>
      <c r="F33" s="3"/>
      <c r="G33" s="3"/>
      <c r="H33" s="3"/>
      <c r="I33" s="3"/>
      <c r="J33" s="3"/>
      <c r="K33" s="3"/>
      <c r="L33" s="3"/>
      <c r="M33" s="3"/>
      <c r="N33" s="3"/>
      <c r="O33" s="3"/>
      <c r="P33" s="3"/>
      <c r="Q33" s="3"/>
      <c r="R33" s="3"/>
      <c r="S33" s="3"/>
      <c r="T33" s="3"/>
      <c r="U33" s="3"/>
      <c r="V33" s="3"/>
      <c r="W33" s="3"/>
      <c r="X33" s="3"/>
      <c r="Y33" s="3"/>
      <c r="Z33" s="3"/>
      <c r="AA33" s="3"/>
      <c r="AB33" s="1" t="s">
        <v>1</v>
      </c>
    </row>
    <row r="34" spans="2:28">
      <c r="B34" s="22"/>
      <c r="D34" s="2" t="str">
        <f>IF($D$1="ORDER BOOK",GetActionStrOrder(X34, H34, T34),IF($D$1="POSITIONS",GetActionStrPosition(F34, S34),IF(E34="","","")))</f>
        <v/>
      </c>
      <c r="E34" s="3"/>
      <c r="F34" s="3"/>
      <c r="G34" s="3"/>
      <c r="H34" s="3"/>
      <c r="I34" s="3"/>
      <c r="J34" s="3"/>
      <c r="K34" s="3"/>
      <c r="L34" s="3"/>
      <c r="M34" s="3"/>
      <c r="N34" s="3"/>
      <c r="O34" s="3"/>
      <c r="P34" s="3"/>
      <c r="Q34" s="3"/>
      <c r="R34" s="3"/>
      <c r="S34" s="3"/>
      <c r="T34" s="3"/>
      <c r="U34" s="3"/>
      <c r="V34" s="3"/>
      <c r="W34" s="3"/>
      <c r="X34" s="3"/>
      <c r="Y34" s="3"/>
      <c r="Z34" s="3"/>
      <c r="AA34" s="3"/>
      <c r="AB34" s="1" t="s">
        <v>1</v>
      </c>
    </row>
    <row r="35" spans="2:28">
      <c r="B35" s="22"/>
      <c r="D35" s="2" t="str">
        <f>IF($D$1="ORDER BOOK",GetActionStrOrder(X35, H35, T35),IF($D$1="POSITIONS",GetActionStrPosition(F35, S35),IF(E35="","","")))</f>
        <v/>
      </c>
      <c r="E35" s="3"/>
      <c r="F35" s="3"/>
      <c r="G35" s="3"/>
      <c r="H35" s="3"/>
      <c r="I35" s="3"/>
      <c r="J35" s="3"/>
      <c r="K35" s="3"/>
      <c r="L35" s="3"/>
      <c r="M35" s="3"/>
      <c r="N35" s="3"/>
      <c r="O35" s="3"/>
      <c r="P35" s="3"/>
      <c r="Q35" s="3"/>
      <c r="R35" s="3"/>
      <c r="S35" s="3"/>
      <c r="T35" s="3"/>
      <c r="U35" s="3"/>
      <c r="V35" s="3"/>
      <c r="W35" s="3"/>
      <c r="X35" s="3"/>
      <c r="Y35" s="3"/>
      <c r="Z35" s="3"/>
      <c r="AA35" s="3"/>
      <c r="AB35" s="1" t="s">
        <v>1</v>
      </c>
    </row>
    <row r="36" spans="2:28">
      <c r="B36" s="22"/>
      <c r="D36" s="2" t="str">
        <f>IF($D$1="ORDER BOOK",GetActionStrOrder(X36, H36, T36),IF($D$1="POSITIONS",GetActionStrPosition(F36, S36),IF(E36="","","")))</f>
        <v/>
      </c>
      <c r="E36" s="3"/>
      <c r="F36" s="3"/>
      <c r="G36" s="3"/>
      <c r="H36" s="3"/>
      <c r="I36" s="3"/>
      <c r="J36" s="3"/>
      <c r="K36" s="3"/>
      <c r="L36" s="3"/>
      <c r="M36" s="3"/>
      <c r="N36" s="3"/>
      <c r="O36" s="3"/>
      <c r="P36" s="3"/>
      <c r="Q36" s="3"/>
      <c r="R36" s="3"/>
      <c r="S36" s="3"/>
      <c r="T36" s="3"/>
      <c r="U36" s="3"/>
      <c r="V36" s="3"/>
      <c r="W36" s="3"/>
      <c r="X36" s="3"/>
      <c r="Y36" s="3"/>
      <c r="Z36" s="3"/>
      <c r="AA36" s="3"/>
      <c r="AB36" s="1" t="s">
        <v>1</v>
      </c>
    </row>
    <row r="37" spans="2:28">
      <c r="B37" s="22"/>
      <c r="D37" s="2" t="str">
        <f>IF($D$1="ORDER BOOK",GetActionStrOrder(X37, H37, T37),IF($D$1="POSITIONS",GetActionStrPosition(F37, S37),IF(E37="","","")))</f>
        <v/>
      </c>
      <c r="E37" s="3"/>
      <c r="F37" s="3"/>
      <c r="G37" s="3"/>
      <c r="H37" s="3"/>
      <c r="I37" s="3"/>
      <c r="J37" s="3"/>
      <c r="K37" s="3"/>
      <c r="L37" s="3"/>
      <c r="M37" s="3"/>
      <c r="N37" s="3"/>
      <c r="O37" s="3"/>
      <c r="P37" s="3"/>
      <c r="Q37" s="3"/>
      <c r="R37" s="3"/>
      <c r="S37" s="3"/>
      <c r="T37" s="3"/>
      <c r="U37" s="3"/>
      <c r="V37" s="3"/>
      <c r="W37" s="3"/>
      <c r="X37" s="3"/>
      <c r="Y37" s="3"/>
      <c r="Z37" s="3"/>
      <c r="AA37" s="3"/>
      <c r="AB37" s="1" t="s">
        <v>1</v>
      </c>
    </row>
    <row r="38" spans="2:28">
      <c r="B38" s="22"/>
      <c r="D38" s="2" t="str">
        <f>IF($D$1="ORDER BOOK",GetActionStrOrder(X38, H38, T38),IF($D$1="POSITIONS",GetActionStrPosition(F38, S38),IF(E38="","","")))</f>
        <v/>
      </c>
      <c r="E38" s="3"/>
      <c r="F38" s="3"/>
      <c r="G38" s="3"/>
      <c r="H38" s="3"/>
      <c r="I38" s="3"/>
      <c r="J38" s="3"/>
      <c r="K38" s="3"/>
      <c r="L38" s="3"/>
      <c r="M38" s="3"/>
      <c r="N38" s="3"/>
      <c r="O38" s="3"/>
      <c r="P38" s="3"/>
      <c r="Q38" s="3"/>
      <c r="R38" s="3"/>
      <c r="S38" s="3"/>
      <c r="T38" s="3"/>
      <c r="U38" s="3"/>
      <c r="V38" s="3"/>
      <c r="W38" s="3"/>
      <c r="X38" s="3"/>
      <c r="Y38" s="3"/>
      <c r="Z38" s="3"/>
      <c r="AA38" s="3"/>
      <c r="AB38" s="1" t="s">
        <v>1</v>
      </c>
    </row>
    <row r="39" spans="2:28">
      <c r="B39" s="22"/>
      <c r="D39" s="2" t="str">
        <f>IF($D$1="ORDER BOOK",GetActionStrOrder(X39, H39, T39),IF($D$1="POSITIONS",GetActionStrPosition(F39, S39),IF(E39="","","")))</f>
        <v/>
      </c>
      <c r="E39" s="3"/>
      <c r="F39" s="3"/>
      <c r="G39" s="3"/>
      <c r="H39" s="3"/>
      <c r="I39" s="3"/>
      <c r="J39" s="3"/>
      <c r="K39" s="3"/>
      <c r="L39" s="3"/>
      <c r="M39" s="3"/>
      <c r="N39" s="3"/>
      <c r="O39" s="3"/>
      <c r="P39" s="3"/>
      <c r="Q39" s="3"/>
      <c r="R39" s="3"/>
      <c r="S39" s="3"/>
      <c r="T39" s="3"/>
      <c r="U39" s="3"/>
      <c r="V39" s="3"/>
      <c r="W39" s="3"/>
      <c r="X39" s="3"/>
      <c r="Y39" s="3"/>
      <c r="Z39" s="3"/>
      <c r="AA39" s="3"/>
      <c r="AB39" s="1" t="s">
        <v>1</v>
      </c>
    </row>
    <row r="40" spans="2:28">
      <c r="B40" s="22"/>
      <c r="D40" s="2" t="str">
        <f>IF($D$1="ORDER BOOK",GetActionStrOrder(X40, H40, T40),IF($D$1="POSITIONS",GetActionStrPosition(F40, S40),IF(E40="","","")))</f>
        <v/>
      </c>
      <c r="E40" s="3"/>
      <c r="F40" s="3"/>
      <c r="G40" s="3"/>
      <c r="H40" s="3"/>
      <c r="I40" s="3"/>
      <c r="J40" s="3"/>
      <c r="K40" s="3"/>
      <c r="L40" s="3"/>
      <c r="M40" s="3"/>
      <c r="N40" s="3"/>
      <c r="O40" s="3"/>
      <c r="P40" s="3"/>
      <c r="Q40" s="3"/>
      <c r="R40" s="3"/>
      <c r="S40" s="3"/>
      <c r="T40" s="3"/>
      <c r="U40" s="3"/>
      <c r="V40" s="3"/>
      <c r="W40" s="3"/>
      <c r="X40" s="3"/>
      <c r="Y40" s="3"/>
      <c r="Z40" s="3"/>
      <c r="AA40" s="3"/>
      <c r="AB40" s="1" t="s">
        <v>1</v>
      </c>
    </row>
    <row r="41" spans="2:28">
      <c r="B41" s="22"/>
      <c r="D41" s="2" t="str">
        <f>IF($D$1="ORDER BOOK",GetActionStrOrder(X41, H41, T41),IF($D$1="POSITIONS",GetActionStrPosition(F41, S41),IF(E41="","","")))</f>
        <v/>
      </c>
      <c r="E41" s="3"/>
      <c r="F41" s="3"/>
      <c r="G41" s="3"/>
      <c r="H41" s="3"/>
      <c r="I41" s="3"/>
      <c r="J41" s="3"/>
      <c r="K41" s="3"/>
      <c r="L41" s="3"/>
      <c r="M41" s="3"/>
      <c r="N41" s="3"/>
      <c r="O41" s="3"/>
      <c r="P41" s="3"/>
      <c r="Q41" s="3"/>
      <c r="R41" s="3"/>
      <c r="S41" s="3"/>
      <c r="T41" s="3"/>
      <c r="U41" s="3"/>
      <c r="V41" s="3"/>
      <c r="W41" s="3"/>
      <c r="X41" s="3"/>
      <c r="Y41" s="3"/>
      <c r="Z41" s="3"/>
      <c r="AA41" s="3"/>
      <c r="AB41" s="1" t="s">
        <v>1</v>
      </c>
    </row>
    <row r="42" spans="2:28">
      <c r="B42" s="22"/>
      <c r="D42" s="2" t="str">
        <f>IF($D$1="ORDER BOOK",GetActionStrOrder(X42, H42, T42),IF($D$1="POSITIONS",GetActionStrPosition(F42, S42),IF(E42="","","")))</f>
        <v/>
      </c>
      <c r="E42" s="3"/>
      <c r="F42" s="3"/>
      <c r="G42" s="3"/>
      <c r="H42" s="3"/>
      <c r="I42" s="3"/>
      <c r="J42" s="3"/>
      <c r="K42" s="3"/>
      <c r="L42" s="3"/>
      <c r="M42" s="3"/>
      <c r="N42" s="3"/>
      <c r="O42" s="3"/>
      <c r="P42" s="3"/>
      <c r="Q42" s="3"/>
      <c r="R42" s="3"/>
      <c r="S42" s="3"/>
      <c r="T42" s="3"/>
      <c r="U42" s="3"/>
      <c r="V42" s="3"/>
      <c r="W42" s="3"/>
      <c r="X42" s="3"/>
      <c r="Y42" s="3"/>
      <c r="Z42" s="3"/>
      <c r="AA42" s="3"/>
      <c r="AB42" s="1" t="s">
        <v>1</v>
      </c>
    </row>
    <row r="43" spans="2:28">
      <c r="B43" s="22"/>
      <c r="D43" s="2" t="str">
        <f>IF($D$1="ORDER BOOK",GetActionStrOrder(X43, H43, T43),IF($D$1="POSITIONS",GetActionStrPosition(F43, S43),IF(E43="","","")))</f>
        <v/>
      </c>
      <c r="E43" s="3"/>
      <c r="F43" s="3"/>
      <c r="G43" s="3"/>
      <c r="H43" s="3"/>
      <c r="I43" s="3"/>
      <c r="J43" s="3"/>
      <c r="K43" s="3"/>
      <c r="L43" s="3"/>
      <c r="M43" s="3"/>
      <c r="N43" s="3"/>
      <c r="O43" s="3"/>
      <c r="P43" s="3"/>
      <c r="Q43" s="3"/>
      <c r="R43" s="3"/>
      <c r="S43" s="3"/>
      <c r="T43" s="3"/>
      <c r="U43" s="3"/>
      <c r="V43" s="3"/>
      <c r="W43" s="3"/>
      <c r="X43" s="3"/>
      <c r="Y43" s="3"/>
      <c r="Z43" s="3"/>
      <c r="AA43" s="3"/>
      <c r="AB43" s="1" t="s">
        <v>1</v>
      </c>
    </row>
    <row r="44" spans="2:28">
      <c r="B44" s="22"/>
      <c r="D44" s="2" t="str">
        <f>IF($D$1="ORDER BOOK",GetActionStrOrder(X44, H44, T44),IF($D$1="POSITIONS",GetActionStrPosition(F44, S44),IF(E44="","","")))</f>
        <v/>
      </c>
      <c r="E44" s="3"/>
      <c r="F44" s="3"/>
      <c r="G44" s="3"/>
      <c r="H44" s="3"/>
      <c r="I44" s="3"/>
      <c r="J44" s="3"/>
      <c r="K44" s="3"/>
      <c r="L44" s="3"/>
      <c r="M44" s="3"/>
      <c r="N44" s="3"/>
      <c r="O44" s="3"/>
      <c r="P44" s="3"/>
      <c r="Q44" s="3"/>
      <c r="R44" s="3"/>
      <c r="S44" s="3"/>
      <c r="T44" s="3"/>
      <c r="U44" s="3"/>
      <c r="V44" s="3"/>
      <c r="W44" s="3"/>
      <c r="X44" s="3"/>
      <c r="Y44" s="3"/>
      <c r="Z44" s="3"/>
      <c r="AA44" s="3"/>
      <c r="AB44" s="1" t="s">
        <v>1</v>
      </c>
    </row>
    <row r="45" spans="2:28">
      <c r="B45" s="22"/>
      <c r="D45" s="2" t="str">
        <f>IF($D$1="ORDER BOOK",GetActionStrOrder(X45, H45, T45),IF($D$1="POSITIONS",GetActionStrPosition(F45, S45),IF(E45="","","")))</f>
        <v/>
      </c>
      <c r="E45" s="3"/>
      <c r="F45" s="3"/>
      <c r="G45" s="3"/>
      <c r="H45" s="3"/>
      <c r="I45" s="3"/>
      <c r="J45" s="3"/>
      <c r="K45" s="3"/>
      <c r="L45" s="3"/>
      <c r="M45" s="3"/>
      <c r="N45" s="3"/>
      <c r="O45" s="3"/>
      <c r="P45" s="3"/>
      <c r="Q45" s="3"/>
      <c r="R45" s="3"/>
      <c r="S45" s="3"/>
      <c r="T45" s="3"/>
      <c r="U45" s="3"/>
      <c r="V45" s="3"/>
      <c r="W45" s="3"/>
      <c r="X45" s="3"/>
      <c r="Y45" s="3"/>
      <c r="Z45" s="3"/>
      <c r="AA45" s="3"/>
      <c r="AB45" s="1" t="s">
        <v>1</v>
      </c>
    </row>
    <row r="46" spans="2:28">
      <c r="B46" s="22"/>
      <c r="D46" s="2" t="str">
        <f>IF($D$1="ORDER BOOK",GetActionStrOrder(X46, H46, T46),IF($D$1="POSITIONS",GetActionStrPosition(F46, S46),IF(E46="","","")))</f>
        <v/>
      </c>
      <c r="E46" s="3"/>
      <c r="F46" s="3"/>
      <c r="G46" s="3"/>
      <c r="H46" s="3"/>
      <c r="I46" s="3"/>
      <c r="J46" s="3"/>
      <c r="K46" s="3"/>
      <c r="L46" s="3"/>
      <c r="M46" s="3"/>
      <c r="N46" s="3"/>
      <c r="O46" s="3"/>
      <c r="P46" s="3"/>
      <c r="Q46" s="3"/>
      <c r="R46" s="3"/>
      <c r="S46" s="3"/>
      <c r="T46" s="3"/>
      <c r="U46" s="3"/>
      <c r="V46" s="3"/>
      <c r="W46" s="3"/>
      <c r="X46" s="3"/>
      <c r="Y46" s="3"/>
      <c r="Z46" s="3"/>
      <c r="AA46" s="3"/>
      <c r="AB46" s="1" t="s">
        <v>1</v>
      </c>
    </row>
    <row r="47" spans="2:28">
      <c r="B47" s="22"/>
      <c r="D47" s="2" t="str">
        <f>IF($D$1="ORDER BOOK",GetActionStrOrder(X47, H47, T47),IF($D$1="POSITIONS",GetActionStrPosition(F47, S47),IF(E47="","","")))</f>
        <v/>
      </c>
      <c r="E47" s="3"/>
      <c r="F47" s="3"/>
      <c r="G47" s="3"/>
      <c r="H47" s="3"/>
      <c r="I47" s="3"/>
      <c r="J47" s="3"/>
      <c r="K47" s="3"/>
      <c r="L47" s="3"/>
      <c r="M47" s="3"/>
      <c r="N47" s="3"/>
      <c r="O47" s="3"/>
      <c r="P47" s="3"/>
      <c r="Q47" s="3"/>
      <c r="R47" s="3"/>
      <c r="S47" s="3"/>
      <c r="T47" s="3"/>
      <c r="U47" s="3"/>
      <c r="V47" s="3"/>
      <c r="W47" s="3"/>
      <c r="X47" s="3"/>
      <c r="Y47" s="3"/>
      <c r="Z47" s="3"/>
      <c r="AA47" s="3"/>
      <c r="AB47" s="1" t="s">
        <v>1</v>
      </c>
    </row>
    <row r="48" spans="2:28">
      <c r="B48" s="22"/>
      <c r="D48" s="2" t="str">
        <f>IF($D$1="ORDER BOOK",GetActionStrOrder(X48, H48, T48),IF($D$1="POSITIONS",GetActionStrPosition(F48, S48),IF(E48="","","")))</f>
        <v/>
      </c>
      <c r="E48" s="3"/>
      <c r="F48" s="3"/>
      <c r="G48" s="3"/>
      <c r="H48" s="3"/>
      <c r="I48" s="3"/>
      <c r="J48" s="3"/>
      <c r="K48" s="3"/>
      <c r="L48" s="3"/>
      <c r="M48" s="3"/>
      <c r="N48" s="3"/>
      <c r="O48" s="3"/>
      <c r="P48" s="3"/>
      <c r="Q48" s="3"/>
      <c r="R48" s="3"/>
      <c r="S48" s="3"/>
      <c r="T48" s="3"/>
      <c r="U48" s="3"/>
      <c r="V48" s="3"/>
      <c r="W48" s="3"/>
      <c r="X48" s="3"/>
      <c r="Y48" s="3"/>
      <c r="Z48" s="3"/>
      <c r="AA48" s="3"/>
      <c r="AB48" s="1" t="s">
        <v>1</v>
      </c>
    </row>
    <row r="49" spans="2:28">
      <c r="B49" s="22"/>
      <c r="D49" s="2" t="str">
        <f>IF($D$1="ORDER BOOK",GetActionStrOrder(X49, H49, T49),IF($D$1="POSITIONS",GetActionStrPosition(F49, S49),IF(E49="","","")))</f>
        <v/>
      </c>
      <c r="E49" s="3"/>
      <c r="F49" s="3"/>
      <c r="G49" s="3"/>
      <c r="H49" s="3"/>
      <c r="I49" s="3"/>
      <c r="J49" s="3"/>
      <c r="K49" s="3"/>
      <c r="L49" s="3"/>
      <c r="M49" s="3"/>
      <c r="N49" s="3"/>
      <c r="O49" s="3"/>
      <c r="P49" s="3"/>
      <c r="Q49" s="3"/>
      <c r="R49" s="3"/>
      <c r="S49" s="3"/>
      <c r="T49" s="3"/>
      <c r="U49" s="3"/>
      <c r="V49" s="3"/>
      <c r="W49" s="3"/>
      <c r="X49" s="3"/>
      <c r="Y49" s="3"/>
      <c r="Z49" s="3"/>
      <c r="AA49" s="3"/>
      <c r="AB49" s="1" t="s">
        <v>1</v>
      </c>
    </row>
    <row r="50" spans="2:28">
      <c r="B50" s="22"/>
      <c r="D50" s="2" t="str">
        <f>IF($D$1="ORDER BOOK",GetActionStrOrder(X50, H50, T50),IF($D$1="POSITIONS",GetActionStrPosition(F50, S50),IF(E50="","","")))</f>
        <v/>
      </c>
      <c r="E50" s="3"/>
      <c r="F50" s="3"/>
      <c r="G50" s="3"/>
      <c r="H50" s="3"/>
      <c r="I50" s="3"/>
      <c r="J50" s="3"/>
      <c r="K50" s="3"/>
      <c r="L50" s="3"/>
      <c r="M50" s="3"/>
      <c r="N50" s="3"/>
      <c r="O50" s="3"/>
      <c r="P50" s="3"/>
      <c r="Q50" s="3"/>
      <c r="R50" s="3"/>
      <c r="S50" s="3"/>
      <c r="T50" s="3"/>
      <c r="U50" s="3"/>
      <c r="V50" s="3"/>
      <c r="W50" s="3"/>
      <c r="X50" s="3"/>
      <c r="Y50" s="3"/>
      <c r="Z50" s="3"/>
      <c r="AA50" s="3"/>
      <c r="AB50" s="1" t="s">
        <v>1</v>
      </c>
    </row>
    <row r="51" spans="2:28">
      <c r="B51" s="22"/>
      <c r="D51" s="2" t="str">
        <f>IF($D$1="ORDER BOOK",GetActionStrOrder(X51, H51, T51),IF($D$1="POSITIONS",GetActionStrPosition(F51, S51),IF(E51="","","")))</f>
        <v/>
      </c>
      <c r="E51" s="3"/>
      <c r="F51" s="3"/>
      <c r="G51" s="3"/>
      <c r="H51" s="3"/>
      <c r="I51" s="3"/>
      <c r="J51" s="3"/>
      <c r="K51" s="3"/>
      <c r="L51" s="3"/>
      <c r="M51" s="3"/>
      <c r="N51" s="3"/>
      <c r="O51" s="3"/>
      <c r="P51" s="3"/>
      <c r="Q51" s="3"/>
      <c r="R51" s="3"/>
      <c r="S51" s="3"/>
      <c r="T51" s="3"/>
      <c r="U51" s="3"/>
      <c r="V51" s="3"/>
      <c r="W51" s="3"/>
      <c r="X51" s="3"/>
      <c r="Y51" s="3"/>
      <c r="Z51" s="3"/>
      <c r="AA51" s="3"/>
      <c r="AB51" s="1" t="s">
        <v>1</v>
      </c>
    </row>
    <row r="52" spans="2:28">
      <c r="B52" s="22"/>
      <c r="D52" s="2" t="str">
        <f>IF($D$1="ORDER BOOK",GetActionStrOrder(X52, H52, T52),IF($D$1="POSITIONS",GetActionStrPosition(F52, S52),IF(E52="","","")))</f>
        <v/>
      </c>
      <c r="E52" s="3"/>
      <c r="F52" s="3"/>
      <c r="G52" s="3"/>
      <c r="H52" s="3"/>
      <c r="I52" s="3"/>
      <c r="J52" s="3"/>
      <c r="K52" s="3"/>
      <c r="L52" s="3"/>
      <c r="M52" s="3"/>
      <c r="N52" s="3"/>
      <c r="O52" s="3"/>
      <c r="P52" s="3"/>
      <c r="Q52" s="3"/>
      <c r="R52" s="3"/>
      <c r="S52" s="3"/>
      <c r="T52" s="3"/>
      <c r="U52" s="3"/>
      <c r="V52" s="3"/>
      <c r="W52" s="3"/>
      <c r="X52" s="3"/>
      <c r="Y52" s="3"/>
      <c r="Z52" s="3"/>
      <c r="AA52" s="3"/>
      <c r="AB52" s="1" t="s">
        <v>1</v>
      </c>
    </row>
    <row r="53" spans="2:28">
      <c r="B53" s="22"/>
      <c r="D53" s="2" t="str">
        <f>IF($D$1="ORDER BOOK",GetActionStrOrder(X53, H53, T53),IF($D$1="POSITIONS",GetActionStrPosition(F53, S53),IF(E53="","","")))</f>
        <v/>
      </c>
      <c r="E53" s="3"/>
      <c r="F53" s="3"/>
      <c r="G53" s="3"/>
      <c r="H53" s="3"/>
      <c r="I53" s="3"/>
      <c r="J53" s="3"/>
      <c r="K53" s="3"/>
      <c r="L53" s="3"/>
      <c r="M53" s="3"/>
      <c r="N53" s="3"/>
      <c r="O53" s="3"/>
      <c r="P53" s="3"/>
      <c r="Q53" s="3"/>
      <c r="R53" s="3"/>
      <c r="S53" s="3"/>
      <c r="T53" s="3"/>
      <c r="U53" s="3"/>
      <c r="V53" s="3"/>
      <c r="W53" s="3"/>
      <c r="X53" s="3"/>
      <c r="Y53" s="3"/>
      <c r="Z53" s="3"/>
      <c r="AA53" s="3"/>
      <c r="AB53" s="1" t="s">
        <v>1</v>
      </c>
    </row>
    <row r="54" spans="2:28">
      <c r="B54" s="22"/>
      <c r="D54" s="2" t="str">
        <f>IF($D$1="ORDER BOOK",GetActionStrOrder(X54, H54, T54),IF($D$1="POSITIONS",GetActionStrPosition(F54, S54),IF(E54="","","")))</f>
        <v/>
      </c>
      <c r="E54" s="3"/>
      <c r="F54" s="3"/>
      <c r="G54" s="3"/>
      <c r="H54" s="3"/>
      <c r="I54" s="3"/>
      <c r="J54" s="3"/>
      <c r="K54" s="3"/>
      <c r="L54" s="3"/>
      <c r="M54" s="3"/>
      <c r="N54" s="3"/>
      <c r="O54" s="3"/>
      <c r="P54" s="3"/>
      <c r="Q54" s="3"/>
      <c r="R54" s="3"/>
      <c r="S54" s="3"/>
      <c r="T54" s="3"/>
      <c r="U54" s="3"/>
      <c r="V54" s="3"/>
      <c r="W54" s="3"/>
      <c r="X54" s="3"/>
      <c r="Y54" s="3"/>
      <c r="Z54" s="3"/>
      <c r="AA54" s="3"/>
      <c r="AB54" s="1" t="s">
        <v>1</v>
      </c>
    </row>
    <row r="55" spans="2:28">
      <c r="B55" s="22"/>
      <c r="D55" s="2" t="str">
        <f>IF($D$1="ORDER BOOK",GetActionStrOrder(X55, H55, T55),IF($D$1="POSITIONS",GetActionStrPosition(F55, S55),IF(E55="","","")))</f>
        <v/>
      </c>
      <c r="E55" s="3"/>
      <c r="F55" s="3"/>
      <c r="G55" s="3"/>
      <c r="H55" s="3"/>
      <c r="I55" s="3"/>
      <c r="J55" s="3"/>
      <c r="K55" s="3"/>
      <c r="L55" s="3"/>
      <c r="M55" s="3"/>
      <c r="N55" s="3"/>
      <c r="O55" s="3"/>
      <c r="P55" s="3"/>
      <c r="Q55" s="3"/>
      <c r="R55" s="3"/>
      <c r="S55" s="3"/>
      <c r="T55" s="3"/>
      <c r="U55" s="3"/>
      <c r="V55" s="3"/>
      <c r="W55" s="3"/>
      <c r="X55" s="3"/>
      <c r="Y55" s="3"/>
      <c r="Z55" s="3"/>
      <c r="AA55" s="3"/>
      <c r="AB55" s="1" t="s">
        <v>1</v>
      </c>
    </row>
    <row r="56" spans="2:28">
      <c r="B56" s="22"/>
      <c r="D56" s="2" t="str">
        <f>IF($D$1="ORDER BOOK",GetActionStrOrder(X56, H56, T56),IF($D$1="POSITIONS",GetActionStrPosition(F56, S56),IF(E56="","","")))</f>
        <v/>
      </c>
      <c r="E56" s="3"/>
      <c r="F56" s="3"/>
      <c r="G56" s="3"/>
      <c r="H56" s="3"/>
      <c r="I56" s="3"/>
      <c r="J56" s="3"/>
      <c r="K56" s="3"/>
      <c r="L56" s="3"/>
      <c r="M56" s="3"/>
      <c r="N56" s="3"/>
      <c r="O56" s="3"/>
      <c r="P56" s="3"/>
      <c r="Q56" s="3"/>
      <c r="R56" s="3"/>
      <c r="S56" s="3"/>
      <c r="T56" s="3"/>
      <c r="U56" s="3"/>
      <c r="V56" s="3"/>
      <c r="W56" s="3"/>
      <c r="X56" s="3"/>
      <c r="Y56" s="3"/>
      <c r="Z56" s="3"/>
      <c r="AA56" s="3"/>
      <c r="AB56" s="1" t="s">
        <v>1</v>
      </c>
    </row>
    <row r="57" spans="2:28">
      <c r="B57" s="22"/>
      <c r="D57" s="2" t="str">
        <f>IF($D$1="ORDER BOOK",GetActionStrOrder(X57, H57, T57),IF($D$1="POSITIONS",GetActionStrPosition(F57, S57),IF(E57="","","")))</f>
        <v/>
      </c>
      <c r="E57" s="3"/>
      <c r="F57" s="3"/>
      <c r="G57" s="3"/>
      <c r="H57" s="3"/>
      <c r="I57" s="3"/>
      <c r="J57" s="3"/>
      <c r="K57" s="3"/>
      <c r="L57" s="3"/>
      <c r="M57" s="3"/>
      <c r="N57" s="3"/>
      <c r="O57" s="3"/>
      <c r="P57" s="3"/>
      <c r="Q57" s="3"/>
      <c r="R57" s="3"/>
      <c r="S57" s="3"/>
      <c r="T57" s="3"/>
      <c r="U57" s="3"/>
      <c r="V57" s="3"/>
      <c r="W57" s="3"/>
      <c r="X57" s="3"/>
      <c r="Y57" s="3"/>
      <c r="Z57" s="3"/>
      <c r="AA57" s="3"/>
      <c r="AB57" s="1" t="s">
        <v>1</v>
      </c>
    </row>
    <row r="58" spans="2:28">
      <c r="B58" s="22"/>
      <c r="D58" s="2" t="str">
        <f>IF($D$1="ORDER BOOK",GetActionStrOrder(X58, H58, T58),IF($D$1="POSITIONS",GetActionStrPosition(F58, S58),IF(E58="","","")))</f>
        <v/>
      </c>
      <c r="E58" s="3"/>
      <c r="F58" s="3"/>
      <c r="G58" s="3"/>
      <c r="H58" s="3"/>
      <c r="I58" s="3"/>
      <c r="J58" s="3"/>
      <c r="K58" s="3"/>
      <c r="L58" s="3"/>
      <c r="M58" s="3"/>
      <c r="N58" s="3"/>
      <c r="O58" s="3"/>
      <c r="P58" s="3"/>
      <c r="Q58" s="3"/>
      <c r="R58" s="3"/>
      <c r="S58" s="3"/>
      <c r="T58" s="3"/>
      <c r="U58" s="3"/>
      <c r="V58" s="3"/>
      <c r="W58" s="3"/>
      <c r="X58" s="3"/>
      <c r="Y58" s="3"/>
      <c r="Z58" s="3"/>
      <c r="AA58" s="3"/>
      <c r="AB58" s="1" t="s">
        <v>1</v>
      </c>
    </row>
    <row r="59" spans="2:28">
      <c r="B59" s="22"/>
      <c r="D59" s="2" t="str">
        <f>IF($D$1="ORDER BOOK",GetActionStrOrder(X59, H59, T59),IF($D$1="POSITIONS",GetActionStrPosition(F59, S59),IF(E59="","","")))</f>
        <v/>
      </c>
      <c r="E59" s="3"/>
      <c r="F59" s="3"/>
      <c r="G59" s="3"/>
      <c r="H59" s="3"/>
      <c r="I59" s="3"/>
      <c r="J59" s="3"/>
      <c r="K59" s="3"/>
      <c r="L59" s="3"/>
      <c r="M59" s="3"/>
      <c r="N59" s="3"/>
      <c r="O59" s="3"/>
      <c r="P59" s="3"/>
      <c r="Q59" s="3"/>
      <c r="R59" s="3"/>
      <c r="S59" s="3"/>
      <c r="T59" s="3"/>
      <c r="U59" s="3"/>
      <c r="V59" s="3"/>
      <c r="W59" s="3"/>
      <c r="X59" s="3"/>
      <c r="Y59" s="3"/>
      <c r="Z59" s="3"/>
      <c r="AA59" s="3"/>
      <c r="AB59" s="1" t="s">
        <v>1</v>
      </c>
    </row>
    <row r="60" spans="2:28">
      <c r="B60" s="22"/>
      <c r="D60" s="2" t="str">
        <f>IF($D$1="ORDER BOOK",GetActionStrOrder(X60, H60, T60),IF($D$1="POSITIONS",GetActionStrPosition(F60, S60),IF(E60="","","")))</f>
        <v/>
      </c>
      <c r="E60" s="3"/>
      <c r="F60" s="3"/>
      <c r="G60" s="3"/>
      <c r="H60" s="3"/>
      <c r="I60" s="3"/>
      <c r="J60" s="3"/>
      <c r="K60" s="3"/>
      <c r="L60" s="3"/>
      <c r="M60" s="3"/>
      <c r="N60" s="3"/>
      <c r="O60" s="3"/>
      <c r="P60" s="3"/>
      <c r="Q60" s="3"/>
      <c r="R60" s="3"/>
      <c r="S60" s="3"/>
      <c r="T60" s="3"/>
      <c r="U60" s="3"/>
      <c r="V60" s="3"/>
      <c r="W60" s="3"/>
      <c r="X60" s="3"/>
      <c r="Y60" s="3"/>
      <c r="Z60" s="3"/>
      <c r="AA60" s="3"/>
      <c r="AB60" s="1" t="s">
        <v>1</v>
      </c>
    </row>
    <row r="61" spans="2:28">
      <c r="B61" s="22"/>
      <c r="D61" s="2" t="str">
        <f>IF($D$1="ORDER BOOK",GetActionStrOrder(X61, H61, T61),IF($D$1="POSITIONS",GetActionStrPosition(F61, S61),IF(E61="","","")))</f>
        <v/>
      </c>
      <c r="E61" s="3"/>
      <c r="F61" s="3"/>
      <c r="G61" s="3"/>
      <c r="H61" s="3"/>
      <c r="I61" s="3"/>
      <c r="J61" s="3"/>
      <c r="K61" s="3"/>
      <c r="L61" s="3"/>
      <c r="M61" s="3"/>
      <c r="N61" s="3"/>
      <c r="O61" s="3"/>
      <c r="P61" s="3"/>
      <c r="Q61" s="3"/>
      <c r="R61" s="3"/>
      <c r="S61" s="3"/>
      <c r="T61" s="3"/>
      <c r="U61" s="3"/>
      <c r="V61" s="3"/>
      <c r="W61" s="3"/>
      <c r="X61" s="3"/>
      <c r="Y61" s="3"/>
      <c r="Z61" s="3"/>
      <c r="AA61" s="3"/>
      <c r="AB61" s="1" t="s">
        <v>1</v>
      </c>
    </row>
    <row r="62" spans="2:28">
      <c r="B62" s="22"/>
      <c r="D62" s="2" t="str">
        <f>IF($D$1="ORDER BOOK",GetActionStrOrder(X62, H62, T62),IF($D$1="POSITIONS",GetActionStrPosition(F62, S62),IF(E62="","","")))</f>
        <v/>
      </c>
      <c r="E62" s="3"/>
      <c r="F62" s="3"/>
      <c r="G62" s="3"/>
      <c r="H62" s="3"/>
      <c r="I62" s="3"/>
      <c r="J62" s="3"/>
      <c r="K62" s="3"/>
      <c r="L62" s="3"/>
      <c r="M62" s="3"/>
      <c r="N62" s="3"/>
      <c r="O62" s="3"/>
      <c r="P62" s="3"/>
      <c r="Q62" s="3"/>
      <c r="R62" s="3"/>
      <c r="S62" s="3"/>
      <c r="T62" s="3"/>
      <c r="U62" s="3"/>
      <c r="V62" s="3"/>
      <c r="W62" s="3"/>
      <c r="X62" s="3"/>
      <c r="Y62" s="3"/>
      <c r="Z62" s="3"/>
      <c r="AA62" s="3"/>
      <c r="AB62" s="1" t="s">
        <v>1</v>
      </c>
    </row>
    <row r="63" spans="2:28">
      <c r="B63" s="22"/>
      <c r="D63" s="2" t="str">
        <f>IF($D$1="ORDER BOOK",GetActionStrOrder(X63, H63, T63),IF($D$1="POSITIONS",GetActionStrPosition(F63, S63),IF(E63="","","")))</f>
        <v/>
      </c>
      <c r="E63" s="3"/>
      <c r="F63" s="3"/>
      <c r="G63" s="3"/>
      <c r="H63" s="3"/>
      <c r="I63" s="3"/>
      <c r="J63" s="3"/>
      <c r="K63" s="3"/>
      <c r="L63" s="3"/>
      <c r="M63" s="3"/>
      <c r="N63" s="3"/>
      <c r="O63" s="3"/>
      <c r="P63" s="3"/>
      <c r="Q63" s="3"/>
      <c r="R63" s="3"/>
      <c r="S63" s="3"/>
      <c r="T63" s="3"/>
      <c r="U63" s="3"/>
      <c r="V63" s="3"/>
      <c r="W63" s="3"/>
      <c r="X63" s="3"/>
      <c r="Y63" s="3"/>
      <c r="Z63" s="3"/>
      <c r="AA63" s="3"/>
      <c r="AB63" s="1" t="s">
        <v>1</v>
      </c>
    </row>
    <row r="64" spans="2:28">
      <c r="B64" s="22"/>
      <c r="D64" s="2" t="str">
        <f>IF($D$1="ORDER BOOK",GetActionStrOrder(X64, H64, T64),IF($D$1="POSITIONS",GetActionStrPosition(F64, S64),IF(E64="","","")))</f>
        <v/>
      </c>
      <c r="E64" s="3"/>
      <c r="F64" s="3"/>
      <c r="G64" s="3"/>
      <c r="H64" s="3"/>
      <c r="I64" s="3"/>
      <c r="J64" s="3"/>
      <c r="K64" s="3"/>
      <c r="L64" s="3"/>
      <c r="M64" s="3"/>
      <c r="N64" s="3"/>
      <c r="O64" s="3"/>
      <c r="P64" s="3"/>
      <c r="Q64" s="3"/>
      <c r="R64" s="3"/>
      <c r="S64" s="3"/>
      <c r="T64" s="3"/>
      <c r="U64" s="3"/>
      <c r="V64" s="3"/>
      <c r="W64" s="3"/>
      <c r="X64" s="3"/>
      <c r="Y64" s="3"/>
      <c r="Z64" s="3"/>
      <c r="AA64" s="3"/>
      <c r="AB64" s="1" t="s">
        <v>1</v>
      </c>
    </row>
    <row r="65" spans="2:28">
      <c r="B65" s="22"/>
      <c r="D65" s="2" t="str">
        <f>IF($D$1="ORDER BOOK",GetActionStrOrder(X65, H65, T65),IF($D$1="POSITIONS",GetActionStrPosition(F65, S65),IF(E65="","","")))</f>
        <v/>
      </c>
      <c r="E65" s="3"/>
      <c r="F65" s="3"/>
      <c r="G65" s="3"/>
      <c r="H65" s="3"/>
      <c r="I65" s="3"/>
      <c r="J65" s="3"/>
      <c r="K65" s="3"/>
      <c r="L65" s="3"/>
      <c r="M65" s="3"/>
      <c r="N65" s="3"/>
      <c r="O65" s="3"/>
      <c r="P65" s="3"/>
      <c r="Q65" s="3"/>
      <c r="R65" s="3"/>
      <c r="S65" s="3"/>
      <c r="T65" s="3"/>
      <c r="U65" s="3"/>
      <c r="V65" s="3"/>
      <c r="W65" s="3"/>
      <c r="X65" s="3"/>
      <c r="Y65" s="3"/>
      <c r="Z65" s="3"/>
      <c r="AA65" s="3"/>
      <c r="AB65" s="1" t="s">
        <v>1</v>
      </c>
    </row>
    <row r="66" spans="2:28">
      <c r="B66" s="22"/>
      <c r="D66" s="2" t="str">
        <f>IF($D$1="ORDER BOOK",GetActionStrOrder(X66, H66, T66),IF($D$1="POSITIONS",GetActionStrPosition(F66, S66),IF(E66="","","")))</f>
        <v/>
      </c>
      <c r="E66" s="3"/>
      <c r="F66" s="3"/>
      <c r="G66" s="3"/>
      <c r="H66" s="3"/>
      <c r="I66" s="3"/>
      <c r="J66" s="3"/>
      <c r="K66" s="3"/>
      <c r="L66" s="3"/>
      <c r="M66" s="3"/>
      <c r="N66" s="3"/>
      <c r="O66" s="3"/>
      <c r="P66" s="3"/>
      <c r="Q66" s="3"/>
      <c r="R66" s="3"/>
      <c r="S66" s="3"/>
      <c r="T66" s="3"/>
      <c r="U66" s="3"/>
      <c r="V66" s="3"/>
      <c r="W66" s="3"/>
      <c r="X66" s="3"/>
      <c r="Y66" s="3"/>
      <c r="Z66" s="3"/>
      <c r="AA66" s="3"/>
      <c r="AB66" s="1" t="s">
        <v>1</v>
      </c>
    </row>
    <row r="67" spans="2:28">
      <c r="B67" s="22"/>
      <c r="D67" s="2" t="str">
        <f>IF($D$1="ORDER BOOK",GetActionStrOrder(X67, H67, T67),IF($D$1="POSITIONS",GetActionStrPosition(F67, S67),IF(E67="","","")))</f>
        <v/>
      </c>
      <c r="E67" s="3"/>
      <c r="F67" s="3"/>
      <c r="G67" s="3"/>
      <c r="H67" s="3"/>
      <c r="I67" s="3"/>
      <c r="J67" s="3"/>
      <c r="K67" s="3"/>
      <c r="L67" s="3"/>
      <c r="M67" s="3"/>
      <c r="N67" s="3"/>
      <c r="O67" s="3"/>
      <c r="P67" s="3"/>
      <c r="Q67" s="3"/>
      <c r="R67" s="3"/>
      <c r="S67" s="3"/>
      <c r="T67" s="3"/>
      <c r="U67" s="3"/>
      <c r="V67" s="3"/>
      <c r="W67" s="3"/>
      <c r="X67" s="3"/>
      <c r="Y67" s="3"/>
      <c r="Z67" s="3"/>
      <c r="AA67" s="3"/>
      <c r="AB67" s="1" t="s">
        <v>1</v>
      </c>
    </row>
    <row r="68" spans="2:28">
      <c r="B68" s="22"/>
      <c r="D68" s="2" t="str">
        <f>IF($D$1="ORDER BOOK",GetActionStrOrder(X68, H68, T68),IF($D$1="POSITIONS",GetActionStrPosition(F68, S68),IF(E68="","","")))</f>
        <v/>
      </c>
      <c r="E68" s="3"/>
      <c r="F68" s="3"/>
      <c r="G68" s="3"/>
      <c r="H68" s="3"/>
      <c r="I68" s="3"/>
      <c r="J68" s="3"/>
      <c r="K68" s="3"/>
      <c r="L68" s="3"/>
      <c r="M68" s="3"/>
      <c r="N68" s="3"/>
      <c r="O68" s="3"/>
      <c r="P68" s="3"/>
      <c r="Q68" s="3"/>
      <c r="R68" s="3"/>
      <c r="S68" s="3"/>
      <c r="T68" s="3"/>
      <c r="U68" s="3"/>
      <c r="V68" s="3"/>
      <c r="W68" s="3"/>
      <c r="X68" s="3"/>
      <c r="Y68" s="3"/>
      <c r="Z68" s="3"/>
      <c r="AA68" s="3"/>
      <c r="AB68" s="1" t="s">
        <v>1</v>
      </c>
    </row>
    <row r="69" spans="2:28">
      <c r="B69" s="22"/>
      <c r="D69" s="2" t="str">
        <f>IF($D$1="ORDER BOOK",GetActionStrOrder(X69, H69, T69),IF($D$1="POSITIONS",GetActionStrPosition(F69, S69),IF(E69="","","")))</f>
        <v/>
      </c>
      <c r="E69" s="3"/>
      <c r="F69" s="3"/>
      <c r="G69" s="3"/>
      <c r="H69" s="3"/>
      <c r="I69" s="3"/>
      <c r="J69" s="3"/>
      <c r="K69" s="3"/>
      <c r="L69" s="3"/>
      <c r="M69" s="3"/>
      <c r="N69" s="3"/>
      <c r="O69" s="3"/>
      <c r="P69" s="3"/>
      <c r="Q69" s="3"/>
      <c r="R69" s="3"/>
      <c r="S69" s="3"/>
      <c r="T69" s="3"/>
      <c r="U69" s="3"/>
      <c r="V69" s="3"/>
      <c r="W69" s="3"/>
      <c r="X69" s="3"/>
      <c r="Y69" s="3"/>
      <c r="Z69" s="3"/>
      <c r="AA69" s="3"/>
      <c r="AB69" s="1" t="s">
        <v>1</v>
      </c>
    </row>
    <row r="70" spans="2:28">
      <c r="B70" s="22"/>
      <c r="D70" s="2" t="str">
        <f>IF($D$1="ORDER BOOK",GetActionStrOrder(X70, H70, T70),IF($D$1="POSITIONS",GetActionStrPosition(F70, S70),IF(E70="","","")))</f>
        <v/>
      </c>
      <c r="E70" s="3"/>
      <c r="F70" s="3"/>
      <c r="G70" s="3"/>
      <c r="H70" s="3"/>
      <c r="I70" s="3"/>
      <c r="J70" s="3"/>
      <c r="K70" s="3"/>
      <c r="L70" s="3"/>
      <c r="M70" s="3"/>
      <c r="N70" s="3"/>
      <c r="O70" s="3"/>
      <c r="P70" s="3"/>
      <c r="Q70" s="3"/>
      <c r="R70" s="3"/>
      <c r="S70" s="3"/>
      <c r="T70" s="3"/>
      <c r="U70" s="3"/>
      <c r="V70" s="3"/>
      <c r="W70" s="3"/>
      <c r="X70" s="3"/>
      <c r="Y70" s="3"/>
      <c r="Z70" s="3"/>
      <c r="AA70" s="3"/>
      <c r="AB70" s="1" t="s">
        <v>1</v>
      </c>
    </row>
    <row r="71" spans="2:28">
      <c r="B71" s="22"/>
      <c r="D71" s="2" t="str">
        <f>IF($D$1="ORDER BOOK",GetActionStrOrder(X71, H71, T71),IF($D$1="POSITIONS",GetActionStrPosition(F71, S71),IF(E71="","","")))</f>
        <v/>
      </c>
      <c r="E71" s="3"/>
      <c r="F71" s="3"/>
      <c r="G71" s="3"/>
      <c r="H71" s="3"/>
      <c r="I71" s="3"/>
      <c r="J71" s="3"/>
      <c r="K71" s="3"/>
      <c r="L71" s="3"/>
      <c r="M71" s="3"/>
      <c r="N71" s="3"/>
      <c r="O71" s="3"/>
      <c r="P71" s="3"/>
      <c r="Q71" s="3"/>
      <c r="R71" s="3"/>
      <c r="S71" s="3"/>
      <c r="T71" s="3"/>
      <c r="U71" s="3"/>
      <c r="V71" s="3"/>
      <c r="W71" s="3"/>
      <c r="X71" s="3"/>
      <c r="Y71" s="3"/>
      <c r="Z71" s="3"/>
      <c r="AA71" s="3"/>
      <c r="AB71" s="1" t="s">
        <v>1</v>
      </c>
    </row>
    <row r="72" spans="2:28">
      <c r="B72" s="22"/>
      <c r="D72" s="2" t="str">
        <f>IF($D$1="ORDER BOOK",GetActionStrOrder(X72, H72, T72),IF($D$1="POSITIONS",GetActionStrPosition(F72, S72),IF(E72="","","")))</f>
        <v/>
      </c>
      <c r="E72" s="3"/>
      <c r="F72" s="3"/>
      <c r="G72" s="3"/>
      <c r="H72" s="3"/>
      <c r="I72" s="3"/>
      <c r="J72" s="3"/>
      <c r="K72" s="3"/>
      <c r="L72" s="3"/>
      <c r="M72" s="3"/>
      <c r="N72" s="3"/>
      <c r="O72" s="3"/>
      <c r="P72" s="3"/>
      <c r="Q72" s="3"/>
      <c r="R72" s="3"/>
      <c r="S72" s="3"/>
      <c r="T72" s="3"/>
      <c r="U72" s="3"/>
      <c r="V72" s="3"/>
      <c r="W72" s="3"/>
      <c r="X72" s="3"/>
      <c r="Y72" s="3"/>
      <c r="Z72" s="3"/>
      <c r="AA72" s="3"/>
      <c r="AB72" s="1" t="s">
        <v>1</v>
      </c>
    </row>
    <row r="73" spans="2:28">
      <c r="B73" s="22"/>
      <c r="D73" s="2" t="str">
        <f>IF($D$1="ORDER BOOK",GetActionStrOrder(X73, H73, T73),IF($D$1="POSITIONS",GetActionStrPosition(F73, S73),IF(E73="","","")))</f>
        <v/>
      </c>
      <c r="E73" s="3"/>
      <c r="F73" s="3"/>
      <c r="G73" s="3"/>
      <c r="H73" s="3"/>
      <c r="I73" s="3"/>
      <c r="J73" s="3"/>
      <c r="K73" s="3"/>
      <c r="L73" s="3"/>
      <c r="M73" s="3"/>
      <c r="N73" s="3"/>
      <c r="O73" s="3"/>
      <c r="P73" s="3"/>
      <c r="Q73" s="3"/>
      <c r="R73" s="3"/>
      <c r="S73" s="3"/>
      <c r="T73" s="3"/>
      <c r="U73" s="3"/>
      <c r="V73" s="3"/>
      <c r="W73" s="3"/>
      <c r="X73" s="3"/>
      <c r="Y73" s="3"/>
      <c r="Z73" s="3"/>
      <c r="AA73" s="3"/>
      <c r="AB73" s="1" t="s">
        <v>1</v>
      </c>
    </row>
    <row r="74" spans="2:28">
      <c r="B74" s="22"/>
      <c r="D74" s="2" t="str">
        <f>IF($D$1="ORDER BOOK",GetActionStrOrder(X74, H74, T74),IF($D$1="POSITIONS",GetActionStrPosition(F74, S74),IF(E74="","","")))</f>
        <v/>
      </c>
      <c r="E74" s="3"/>
      <c r="F74" s="3"/>
      <c r="G74" s="3"/>
      <c r="H74" s="3"/>
      <c r="I74" s="3"/>
      <c r="J74" s="3"/>
      <c r="K74" s="3"/>
      <c r="L74" s="3"/>
      <c r="M74" s="3"/>
      <c r="N74" s="3"/>
      <c r="O74" s="3"/>
      <c r="P74" s="3"/>
      <c r="Q74" s="3"/>
      <c r="R74" s="3"/>
      <c r="S74" s="3"/>
      <c r="T74" s="3"/>
      <c r="U74" s="3"/>
      <c r="V74" s="3"/>
      <c r="W74" s="3"/>
      <c r="X74" s="3"/>
      <c r="Y74" s="3"/>
      <c r="Z74" s="3"/>
      <c r="AA74" s="3"/>
      <c r="AB74" s="1" t="s">
        <v>1</v>
      </c>
    </row>
    <row r="75" spans="2:28">
      <c r="B75" s="22"/>
      <c r="D75" s="2" t="str">
        <f>IF($D$1="ORDER BOOK",GetActionStrOrder(X75, H75, T75),IF($D$1="POSITIONS",GetActionStrPosition(F75, S75),IF(E75="","","")))</f>
        <v/>
      </c>
      <c r="E75" s="3"/>
      <c r="F75" s="3"/>
      <c r="G75" s="3"/>
      <c r="H75" s="3"/>
      <c r="I75" s="3"/>
      <c r="J75" s="3"/>
      <c r="K75" s="3"/>
      <c r="L75" s="3"/>
      <c r="M75" s="3"/>
      <c r="N75" s="3"/>
      <c r="O75" s="3"/>
      <c r="P75" s="3"/>
      <c r="Q75" s="3"/>
      <c r="R75" s="3"/>
      <c r="S75" s="3"/>
      <c r="T75" s="3"/>
      <c r="U75" s="3"/>
      <c r="V75" s="3"/>
      <c r="W75" s="3"/>
      <c r="X75" s="3"/>
      <c r="Y75" s="3"/>
      <c r="Z75" s="3"/>
      <c r="AA75" s="3"/>
      <c r="AB75" s="1" t="s">
        <v>1</v>
      </c>
    </row>
    <row r="76" spans="2:28">
      <c r="B76" s="22"/>
      <c r="D76" s="2" t="str">
        <f>IF($D$1="ORDER BOOK",GetActionStrOrder(X76, H76, T76),IF($D$1="POSITIONS",GetActionStrPosition(F76, S76),IF(E76="","","")))</f>
        <v/>
      </c>
      <c r="E76" s="3"/>
      <c r="F76" s="3"/>
      <c r="G76" s="3"/>
      <c r="H76" s="3"/>
      <c r="I76" s="3"/>
      <c r="J76" s="3"/>
      <c r="K76" s="3"/>
      <c r="L76" s="3"/>
      <c r="M76" s="3"/>
      <c r="N76" s="3"/>
      <c r="O76" s="3"/>
      <c r="P76" s="3"/>
      <c r="Q76" s="3"/>
      <c r="R76" s="3"/>
      <c r="S76" s="3"/>
      <c r="T76" s="3"/>
      <c r="U76" s="3"/>
      <c r="V76" s="3"/>
      <c r="W76" s="3"/>
      <c r="X76" s="3"/>
      <c r="Y76" s="3"/>
      <c r="Z76" s="3"/>
      <c r="AA76" s="3"/>
      <c r="AB76" s="1" t="s">
        <v>1</v>
      </c>
    </row>
    <row r="77" spans="2:28">
      <c r="B77" s="22"/>
      <c r="D77" s="2" t="str">
        <f>IF($D$1="ORDER BOOK",GetActionStrOrder(X77, H77, T77),IF($D$1="POSITIONS",GetActionStrPosition(F77, S77),IF(E77="","","")))</f>
        <v/>
      </c>
      <c r="E77" s="3"/>
      <c r="F77" s="3"/>
      <c r="G77" s="3"/>
      <c r="H77" s="3"/>
      <c r="I77" s="3"/>
      <c r="J77" s="3"/>
      <c r="K77" s="3"/>
      <c r="L77" s="3"/>
      <c r="M77" s="3"/>
      <c r="N77" s="3"/>
      <c r="O77" s="3"/>
      <c r="P77" s="3"/>
      <c r="Q77" s="3"/>
      <c r="R77" s="3"/>
      <c r="S77" s="3"/>
      <c r="T77" s="3"/>
      <c r="U77" s="3"/>
      <c r="V77" s="3"/>
      <c r="W77" s="3"/>
      <c r="X77" s="3"/>
      <c r="Y77" s="3"/>
      <c r="Z77" s="3"/>
      <c r="AA77" s="3"/>
      <c r="AB77" s="1" t="s">
        <v>1</v>
      </c>
    </row>
    <row r="78" spans="2:28">
      <c r="B78" s="22"/>
      <c r="D78" s="2" t="str">
        <f>IF($D$1="ORDER BOOK",GetActionStrOrder(X78, H78, T78),IF($D$1="POSITIONS",GetActionStrPosition(F78, S78),IF(E78="","","")))</f>
        <v/>
      </c>
      <c r="E78" s="3"/>
      <c r="F78" s="3"/>
      <c r="G78" s="3"/>
      <c r="H78" s="3"/>
      <c r="I78" s="3"/>
      <c r="J78" s="3"/>
      <c r="K78" s="3"/>
      <c r="L78" s="3"/>
      <c r="M78" s="3"/>
      <c r="N78" s="3"/>
      <c r="O78" s="3"/>
      <c r="P78" s="3"/>
      <c r="Q78" s="3"/>
      <c r="R78" s="3"/>
      <c r="S78" s="3"/>
      <c r="T78" s="3"/>
      <c r="U78" s="3"/>
      <c r="V78" s="3"/>
      <c r="W78" s="3"/>
      <c r="X78" s="3"/>
      <c r="Y78" s="3"/>
      <c r="Z78" s="3"/>
      <c r="AA78" s="3"/>
      <c r="AB78" s="1" t="s">
        <v>1</v>
      </c>
    </row>
    <row r="79" spans="2:28">
      <c r="B79" s="22"/>
      <c r="D79" s="2" t="str">
        <f>IF($D$1="ORDER BOOK",GetActionStrOrder(X79, H79, T79),IF($D$1="POSITIONS",GetActionStrPosition(F79, S79),IF(E79="","","")))</f>
        <v/>
      </c>
      <c r="E79" s="3"/>
      <c r="F79" s="3"/>
      <c r="G79" s="3"/>
      <c r="H79" s="3"/>
      <c r="I79" s="3"/>
      <c r="J79" s="3"/>
      <c r="K79" s="3"/>
      <c r="L79" s="3"/>
      <c r="M79" s="3"/>
      <c r="N79" s="3"/>
      <c r="O79" s="3"/>
      <c r="P79" s="3"/>
      <c r="Q79" s="3"/>
      <c r="R79" s="3"/>
      <c r="S79" s="3"/>
      <c r="T79" s="3"/>
      <c r="U79" s="3"/>
      <c r="V79" s="3"/>
      <c r="W79" s="3"/>
      <c r="X79" s="3"/>
      <c r="Y79" s="3"/>
      <c r="Z79" s="3"/>
      <c r="AA79" s="3"/>
      <c r="AB79" s="1" t="s">
        <v>1</v>
      </c>
    </row>
    <row r="80" spans="2:28">
      <c r="B80" s="22"/>
      <c r="D80" s="2" t="str">
        <f>IF($D$1="ORDER BOOK",GetActionStrOrder(X80, H80, T80),IF($D$1="POSITIONS",GetActionStrPosition(F80, S80),IF(E80="","","")))</f>
        <v/>
      </c>
      <c r="E80" s="3"/>
      <c r="F80" s="3"/>
      <c r="G80" s="3"/>
      <c r="H80" s="3"/>
      <c r="I80" s="3"/>
      <c r="J80" s="3"/>
      <c r="K80" s="3"/>
      <c r="L80" s="3"/>
      <c r="M80" s="3"/>
      <c r="N80" s="3"/>
      <c r="O80" s="3"/>
      <c r="P80" s="3"/>
      <c r="Q80" s="3"/>
      <c r="R80" s="3"/>
      <c r="S80" s="3"/>
      <c r="T80" s="3"/>
      <c r="U80" s="3"/>
      <c r="V80" s="3"/>
      <c r="W80" s="3"/>
      <c r="X80" s="3"/>
      <c r="Y80" s="3"/>
      <c r="Z80" s="3"/>
      <c r="AA80" s="3"/>
      <c r="AB80" s="1" t="s">
        <v>1</v>
      </c>
    </row>
    <row r="81" spans="2:28">
      <c r="B81" s="22"/>
      <c r="D81" s="2" t="str">
        <f>IF($D$1="ORDER BOOK",GetActionStrOrder(X81, H81, T81),IF($D$1="POSITIONS",GetActionStrPosition(F81, S81),IF(E81="","","")))</f>
        <v/>
      </c>
      <c r="E81" s="3"/>
      <c r="F81" s="3"/>
      <c r="G81" s="3"/>
      <c r="H81" s="3"/>
      <c r="I81" s="3"/>
      <c r="J81" s="3"/>
      <c r="K81" s="3"/>
      <c r="L81" s="3"/>
      <c r="M81" s="3"/>
      <c r="N81" s="3"/>
      <c r="O81" s="3"/>
      <c r="P81" s="3"/>
      <c r="Q81" s="3"/>
      <c r="R81" s="3"/>
      <c r="S81" s="3"/>
      <c r="T81" s="3"/>
      <c r="U81" s="3"/>
      <c r="V81" s="3"/>
      <c r="W81" s="3"/>
      <c r="X81" s="3"/>
      <c r="Y81" s="3"/>
      <c r="Z81" s="3"/>
      <c r="AA81" s="3"/>
      <c r="AB81" s="1" t="s">
        <v>1</v>
      </c>
    </row>
    <row r="82" spans="2:28">
      <c r="B82" s="22"/>
      <c r="D82" s="2" t="str">
        <f>IF($D$1="ORDER BOOK",GetActionStrOrder(X82, H82, T82),IF($D$1="POSITIONS",GetActionStrPosition(F82, S82),IF(E82="","","")))</f>
        <v/>
      </c>
      <c r="E82" s="3"/>
      <c r="F82" s="3"/>
      <c r="G82" s="3"/>
      <c r="H82" s="3"/>
      <c r="I82" s="3"/>
      <c r="J82" s="3"/>
      <c r="K82" s="3"/>
      <c r="L82" s="3"/>
      <c r="M82" s="3"/>
      <c r="N82" s="3"/>
      <c r="O82" s="3"/>
      <c r="P82" s="3"/>
      <c r="Q82" s="3"/>
      <c r="R82" s="3"/>
      <c r="S82" s="3"/>
      <c r="T82" s="3"/>
      <c r="U82" s="3"/>
      <c r="V82" s="3"/>
      <c r="W82" s="3"/>
      <c r="X82" s="3"/>
      <c r="Y82" s="3"/>
      <c r="Z82" s="3"/>
      <c r="AA82" s="3"/>
      <c r="AB82" s="1" t="s">
        <v>1</v>
      </c>
    </row>
    <row r="83" spans="2:28">
      <c r="B83" s="22"/>
      <c r="D83" s="2" t="str">
        <f>IF($D$1="ORDER BOOK",GetActionStrOrder(X83, H83, T83),IF($D$1="POSITIONS",GetActionStrPosition(F83, S83),IF(E83="","","")))</f>
        <v/>
      </c>
      <c r="E83" s="3"/>
      <c r="F83" s="3"/>
      <c r="G83" s="3"/>
      <c r="H83" s="3"/>
      <c r="I83" s="3"/>
      <c r="J83" s="3"/>
      <c r="K83" s="3"/>
      <c r="L83" s="3"/>
      <c r="M83" s="3"/>
      <c r="N83" s="3"/>
      <c r="O83" s="3"/>
      <c r="P83" s="3"/>
      <c r="Q83" s="3"/>
      <c r="R83" s="3"/>
      <c r="S83" s="3"/>
      <c r="T83" s="3"/>
      <c r="U83" s="3"/>
      <c r="V83" s="3"/>
      <c r="W83" s="3"/>
      <c r="X83" s="3"/>
      <c r="Y83" s="3"/>
      <c r="Z83" s="3"/>
      <c r="AA83" s="3"/>
      <c r="AB83" s="1" t="s">
        <v>1</v>
      </c>
    </row>
    <row r="84" spans="2:28">
      <c r="B84" s="22"/>
      <c r="D84" s="2" t="str">
        <f>IF($D$1="ORDER BOOK",GetActionStrOrder(X84, H84, T84),IF($D$1="POSITIONS",GetActionStrPosition(F84, S84),IF(E84="","","")))</f>
        <v/>
      </c>
      <c r="E84" s="3"/>
      <c r="F84" s="3"/>
      <c r="G84" s="3"/>
      <c r="H84" s="3"/>
      <c r="I84" s="3"/>
      <c r="J84" s="3"/>
      <c r="K84" s="3"/>
      <c r="L84" s="3"/>
      <c r="M84" s="3"/>
      <c r="N84" s="3"/>
      <c r="O84" s="3"/>
      <c r="P84" s="3"/>
      <c r="Q84" s="3"/>
      <c r="R84" s="3"/>
      <c r="S84" s="3"/>
      <c r="T84" s="3"/>
      <c r="U84" s="3"/>
      <c r="V84" s="3"/>
      <c r="W84" s="3"/>
      <c r="X84" s="3"/>
      <c r="Y84" s="3"/>
      <c r="Z84" s="3"/>
      <c r="AA84" s="3"/>
      <c r="AB84" s="1" t="s">
        <v>1</v>
      </c>
    </row>
    <row r="85" spans="2:28">
      <c r="B85" s="22"/>
      <c r="D85" s="2" t="str">
        <f>IF($D$1="ORDER BOOK",GetActionStrOrder(X85, H85, T85),IF($D$1="POSITIONS",GetActionStrPosition(F85, S85),IF(E85="","","")))</f>
        <v/>
      </c>
      <c r="E85" s="3"/>
      <c r="F85" s="3"/>
      <c r="G85" s="3"/>
      <c r="H85" s="3"/>
      <c r="I85" s="3"/>
      <c r="J85" s="3"/>
      <c r="K85" s="3"/>
      <c r="L85" s="3"/>
      <c r="M85" s="3"/>
      <c r="N85" s="3"/>
      <c r="O85" s="3"/>
      <c r="P85" s="3"/>
      <c r="Q85" s="3"/>
      <c r="R85" s="3"/>
      <c r="S85" s="3"/>
      <c r="T85" s="3"/>
      <c r="U85" s="3"/>
      <c r="V85" s="3"/>
      <c r="W85" s="3"/>
      <c r="X85" s="3"/>
      <c r="Y85" s="3"/>
      <c r="Z85" s="3"/>
      <c r="AA85" s="3"/>
      <c r="AB85" s="1" t="s">
        <v>1</v>
      </c>
    </row>
    <row r="86" spans="2:28">
      <c r="B86" s="22"/>
      <c r="D86" s="2" t="str">
        <f>IF($D$1="ORDER BOOK",GetActionStrOrder(X86, H86, T86),IF($D$1="POSITIONS",GetActionStrPosition(F86, S86),IF(E86="","","")))</f>
        <v/>
      </c>
      <c r="E86" s="3"/>
      <c r="F86" s="3"/>
      <c r="G86" s="3"/>
      <c r="H86" s="3"/>
      <c r="I86" s="3"/>
      <c r="J86" s="3"/>
      <c r="K86" s="3"/>
      <c r="L86" s="3"/>
      <c r="M86" s="3"/>
      <c r="N86" s="3"/>
      <c r="O86" s="3"/>
      <c r="P86" s="3"/>
      <c r="Q86" s="3"/>
      <c r="R86" s="3"/>
      <c r="S86" s="3"/>
      <c r="T86" s="3"/>
      <c r="U86" s="3"/>
      <c r="V86" s="3"/>
      <c r="W86" s="3"/>
      <c r="X86" s="3"/>
      <c r="Y86" s="3"/>
      <c r="Z86" s="3"/>
      <c r="AA86" s="3"/>
      <c r="AB86" s="1" t="s">
        <v>1</v>
      </c>
    </row>
    <row r="87" spans="2:28">
      <c r="B87" s="22"/>
      <c r="D87" s="2" t="str">
        <f>IF($D$1="ORDER BOOK",GetActionStrOrder(X87, H87, T87),IF($D$1="POSITIONS",GetActionStrPosition(F87, S87),IF(E87="","","")))</f>
        <v/>
      </c>
      <c r="E87" s="3"/>
      <c r="F87" s="3"/>
      <c r="G87" s="3"/>
      <c r="H87" s="3"/>
      <c r="I87" s="3"/>
      <c r="J87" s="3"/>
      <c r="K87" s="3"/>
      <c r="L87" s="3"/>
      <c r="M87" s="3"/>
      <c r="N87" s="3"/>
      <c r="O87" s="3"/>
      <c r="P87" s="3"/>
      <c r="Q87" s="3"/>
      <c r="R87" s="3"/>
      <c r="S87" s="3"/>
      <c r="T87" s="3"/>
      <c r="U87" s="3"/>
      <c r="V87" s="3"/>
      <c r="W87" s="3"/>
      <c r="X87" s="3"/>
      <c r="Y87" s="3"/>
      <c r="Z87" s="3"/>
      <c r="AA87" s="3"/>
      <c r="AB87" s="1" t="s">
        <v>1</v>
      </c>
    </row>
    <row r="88" spans="2:28">
      <c r="B88" s="22"/>
      <c r="D88" s="2" t="str">
        <f>IF($D$1="ORDER BOOK",GetActionStrOrder(X88, H88, T88),IF($D$1="POSITIONS",GetActionStrPosition(F88, S88),IF(E88="","","")))</f>
        <v/>
      </c>
      <c r="E88" s="3"/>
      <c r="F88" s="3"/>
      <c r="G88" s="3"/>
      <c r="H88" s="3"/>
      <c r="I88" s="3"/>
      <c r="J88" s="3"/>
      <c r="K88" s="3"/>
      <c r="L88" s="3"/>
      <c r="M88" s="3"/>
      <c r="N88" s="3"/>
      <c r="O88" s="3"/>
      <c r="P88" s="3"/>
      <c r="Q88" s="3"/>
      <c r="R88" s="3"/>
      <c r="S88" s="3"/>
      <c r="T88" s="3"/>
      <c r="U88" s="3"/>
      <c r="V88" s="3"/>
      <c r="W88" s="3"/>
      <c r="X88" s="3"/>
      <c r="Y88" s="3"/>
      <c r="Z88" s="3"/>
      <c r="AA88" s="3"/>
      <c r="AB88" s="1" t="s">
        <v>1</v>
      </c>
    </row>
    <row r="89" spans="2:28">
      <c r="B89" s="22"/>
      <c r="D89" s="2" t="str">
        <f>IF($D$1="ORDER BOOK",GetActionStrOrder(X89, H89, T89),IF($D$1="POSITIONS",GetActionStrPosition(F89, S89),IF(E89="","","")))</f>
        <v/>
      </c>
      <c r="E89" s="3"/>
      <c r="F89" s="3"/>
      <c r="G89" s="3"/>
      <c r="H89" s="3"/>
      <c r="I89" s="3"/>
      <c r="J89" s="3"/>
      <c r="K89" s="3"/>
      <c r="L89" s="3"/>
      <c r="M89" s="3"/>
      <c r="N89" s="3"/>
      <c r="O89" s="3"/>
      <c r="P89" s="3"/>
      <c r="Q89" s="3"/>
      <c r="R89" s="3"/>
      <c r="S89" s="3"/>
      <c r="T89" s="3"/>
      <c r="U89" s="3"/>
      <c r="V89" s="3"/>
      <c r="W89" s="3"/>
      <c r="X89" s="3"/>
      <c r="Y89" s="3"/>
      <c r="Z89" s="3"/>
      <c r="AA89" s="3"/>
      <c r="AB89" s="1" t="s">
        <v>1</v>
      </c>
    </row>
    <row r="90" spans="2:28">
      <c r="B90" s="22"/>
      <c r="D90" s="2" t="str">
        <f>IF($D$1="ORDER BOOK",GetActionStrOrder(X90, H90, T90),IF($D$1="POSITIONS",GetActionStrPosition(F90, S90),IF(E90="","","")))</f>
        <v/>
      </c>
      <c r="E90" s="3"/>
      <c r="F90" s="3"/>
      <c r="G90" s="3"/>
      <c r="H90" s="3"/>
      <c r="I90" s="3"/>
      <c r="J90" s="3"/>
      <c r="K90" s="3"/>
      <c r="L90" s="3"/>
      <c r="M90" s="3"/>
      <c r="N90" s="3"/>
      <c r="O90" s="3"/>
      <c r="P90" s="3"/>
      <c r="Q90" s="3"/>
      <c r="R90" s="3"/>
      <c r="S90" s="3"/>
      <c r="T90" s="3"/>
      <c r="U90" s="3"/>
      <c r="V90" s="3"/>
      <c r="W90" s="3"/>
      <c r="X90" s="3"/>
      <c r="Y90" s="3"/>
      <c r="Z90" s="3"/>
      <c r="AA90" s="3"/>
      <c r="AB90" s="1" t="s">
        <v>1</v>
      </c>
    </row>
    <row r="91" spans="2:28">
      <c r="B91" s="22"/>
      <c r="D91" s="2" t="str">
        <f>IF($D$1="ORDER BOOK",GetActionStrOrder(X91, H91, T91),IF($D$1="POSITIONS",GetActionStrPosition(F91, S91),IF(E91="","","")))</f>
        <v/>
      </c>
      <c r="E91" s="3"/>
      <c r="F91" s="3"/>
      <c r="G91" s="3"/>
      <c r="H91" s="3"/>
      <c r="I91" s="3"/>
      <c r="J91" s="3"/>
      <c r="K91" s="3"/>
      <c r="L91" s="3"/>
      <c r="M91" s="3"/>
      <c r="N91" s="3"/>
      <c r="O91" s="3"/>
      <c r="P91" s="3"/>
      <c r="Q91" s="3"/>
      <c r="R91" s="3"/>
      <c r="S91" s="3"/>
      <c r="T91" s="3"/>
      <c r="U91" s="3"/>
      <c r="V91" s="3"/>
      <c r="W91" s="3"/>
      <c r="X91" s="3"/>
      <c r="Y91" s="3"/>
      <c r="Z91" s="3"/>
      <c r="AA91" s="3"/>
      <c r="AB91" s="1" t="s">
        <v>1</v>
      </c>
    </row>
    <row r="92" spans="2:28">
      <c r="B92" s="22"/>
      <c r="D92" s="2" t="str">
        <f>IF($D$1="ORDER BOOK",GetActionStrOrder(X92, H92, T92),IF($D$1="POSITIONS",GetActionStrPosition(F92, S92),IF(E92="","","")))</f>
        <v/>
      </c>
      <c r="E92" s="3"/>
      <c r="F92" s="3"/>
      <c r="G92" s="3"/>
      <c r="H92" s="3"/>
      <c r="I92" s="3"/>
      <c r="J92" s="3"/>
      <c r="K92" s="3"/>
      <c r="L92" s="3"/>
      <c r="M92" s="3"/>
      <c r="N92" s="3"/>
      <c r="O92" s="3"/>
      <c r="P92" s="3"/>
      <c r="Q92" s="3"/>
      <c r="R92" s="3"/>
      <c r="S92" s="3"/>
      <c r="T92" s="3"/>
      <c r="U92" s="3"/>
      <c r="V92" s="3"/>
      <c r="W92" s="3"/>
      <c r="X92" s="3"/>
      <c r="Y92" s="3"/>
      <c r="Z92" s="3"/>
      <c r="AA92" s="3"/>
      <c r="AB92" s="1" t="s">
        <v>1</v>
      </c>
    </row>
    <row r="93" spans="2:28">
      <c r="B93" s="22"/>
      <c r="D93" s="2" t="str">
        <f>IF($D$1="ORDER BOOK",GetActionStrOrder(X93, H93, T93),IF($D$1="POSITIONS",GetActionStrPosition(F93, S93),IF(E93="","","")))</f>
        <v/>
      </c>
      <c r="E93" s="3"/>
      <c r="F93" s="3"/>
      <c r="G93" s="3"/>
      <c r="H93" s="3"/>
      <c r="I93" s="3"/>
      <c r="J93" s="3"/>
      <c r="K93" s="3"/>
      <c r="L93" s="3"/>
      <c r="M93" s="3"/>
      <c r="N93" s="3"/>
      <c r="O93" s="3"/>
      <c r="P93" s="3"/>
      <c r="Q93" s="3"/>
      <c r="R93" s="3"/>
      <c r="S93" s="3"/>
      <c r="T93" s="3"/>
      <c r="U93" s="3"/>
      <c r="V93" s="3"/>
      <c r="W93" s="3"/>
      <c r="X93" s="3"/>
      <c r="Y93" s="3"/>
      <c r="Z93" s="3"/>
      <c r="AA93" s="3"/>
      <c r="AB93" s="1" t="s">
        <v>1</v>
      </c>
    </row>
    <row r="94" spans="2:28">
      <c r="B94" s="22"/>
      <c r="D94" s="2" t="str">
        <f>IF($D$1="ORDER BOOK",GetActionStrOrder(X94, H94, T94),IF($D$1="POSITIONS",GetActionStrPosition(F94, S94),IF(E94="","","")))</f>
        <v/>
      </c>
      <c r="E94" s="3"/>
      <c r="F94" s="3"/>
      <c r="G94" s="3"/>
      <c r="H94" s="3"/>
      <c r="I94" s="3"/>
      <c r="J94" s="3"/>
      <c r="K94" s="3"/>
      <c r="L94" s="3"/>
      <c r="M94" s="3"/>
      <c r="N94" s="3"/>
      <c r="O94" s="3"/>
      <c r="P94" s="3"/>
      <c r="Q94" s="3"/>
      <c r="R94" s="3"/>
      <c r="S94" s="3"/>
      <c r="T94" s="3"/>
      <c r="U94" s="3"/>
      <c r="V94" s="3"/>
      <c r="W94" s="3"/>
      <c r="X94" s="3"/>
      <c r="Y94" s="3"/>
      <c r="Z94" s="3"/>
      <c r="AA94" s="3"/>
      <c r="AB94" s="1" t="s">
        <v>1</v>
      </c>
    </row>
    <row r="95" spans="2:28">
      <c r="B95" s="22"/>
      <c r="D95" s="2" t="str">
        <f>IF($D$1="ORDER BOOK",GetActionStrOrder(X95, H95, T95),IF($D$1="POSITIONS",GetActionStrPosition(F95, S95),IF(E95="","","")))</f>
        <v/>
      </c>
      <c r="E95" s="3"/>
      <c r="F95" s="3"/>
      <c r="G95" s="3"/>
      <c r="H95" s="3"/>
      <c r="I95" s="3"/>
      <c r="J95" s="3"/>
      <c r="K95" s="3"/>
      <c r="L95" s="3"/>
      <c r="M95" s="3"/>
      <c r="N95" s="3"/>
      <c r="O95" s="3"/>
      <c r="P95" s="3"/>
      <c r="Q95" s="3"/>
      <c r="R95" s="3"/>
      <c r="S95" s="3"/>
      <c r="T95" s="3"/>
      <c r="U95" s="3"/>
      <c r="V95" s="3"/>
      <c r="W95" s="3"/>
      <c r="X95" s="3"/>
      <c r="Y95" s="3"/>
      <c r="Z95" s="3"/>
      <c r="AA95" s="3"/>
      <c r="AB95" s="1" t="s">
        <v>1</v>
      </c>
    </row>
    <row r="96" spans="2:28">
      <c r="B96" s="22"/>
      <c r="D96" s="2" t="str">
        <f>IF($D$1="ORDER BOOK",GetActionStrOrder(X96, H96, T96),IF($D$1="POSITIONS",GetActionStrPosition(F96, S96),IF(E96="","","")))</f>
        <v/>
      </c>
      <c r="E96" s="3"/>
      <c r="F96" s="3"/>
      <c r="G96" s="3"/>
      <c r="H96" s="3"/>
      <c r="I96" s="3"/>
      <c r="J96" s="3"/>
      <c r="K96" s="3"/>
      <c r="L96" s="3"/>
      <c r="M96" s="3"/>
      <c r="N96" s="3"/>
      <c r="O96" s="3"/>
      <c r="P96" s="3"/>
      <c r="Q96" s="3"/>
      <c r="R96" s="3"/>
      <c r="S96" s="3"/>
      <c r="T96" s="3"/>
      <c r="U96" s="3"/>
      <c r="V96" s="3"/>
      <c r="W96" s="3"/>
      <c r="X96" s="3"/>
      <c r="Y96" s="3"/>
      <c r="Z96" s="3"/>
      <c r="AA96" s="3"/>
      <c r="AB96" s="1" t="s">
        <v>1</v>
      </c>
    </row>
    <row r="97" spans="2:28">
      <c r="B97" s="22"/>
      <c r="D97" s="2" t="str">
        <f>IF($D$1="ORDER BOOK",GetActionStrOrder(X97, H97, T97),IF($D$1="POSITIONS",GetActionStrPosition(F97, S97),IF(E97="","","")))</f>
        <v/>
      </c>
      <c r="E97" s="3"/>
      <c r="F97" s="3"/>
      <c r="G97" s="3"/>
      <c r="H97" s="3"/>
      <c r="I97" s="3"/>
      <c r="J97" s="3"/>
      <c r="K97" s="3"/>
      <c r="L97" s="3"/>
      <c r="M97" s="3"/>
      <c r="N97" s="3"/>
      <c r="O97" s="3"/>
      <c r="P97" s="3"/>
      <c r="Q97" s="3"/>
      <c r="R97" s="3"/>
      <c r="S97" s="3"/>
      <c r="T97" s="3"/>
      <c r="U97" s="3"/>
      <c r="V97" s="3"/>
      <c r="W97" s="3"/>
      <c r="X97" s="3"/>
      <c r="Y97" s="3"/>
      <c r="Z97" s="3"/>
      <c r="AA97" s="3"/>
      <c r="AB97" s="1" t="s">
        <v>1</v>
      </c>
    </row>
    <row r="98" spans="2:28">
      <c r="B98" s="22"/>
      <c r="D98" s="2" t="str">
        <f>IF($D$1="ORDER BOOK",GetActionStrOrder(X98, H98, T98),IF($D$1="POSITIONS",GetActionStrPosition(F98, S98),IF(E98="","","")))</f>
        <v/>
      </c>
      <c r="E98" s="3"/>
      <c r="F98" s="3"/>
      <c r="G98" s="3"/>
      <c r="H98" s="3"/>
      <c r="I98" s="3"/>
      <c r="J98" s="3"/>
      <c r="K98" s="3"/>
      <c r="L98" s="3"/>
      <c r="M98" s="3"/>
      <c r="N98" s="3"/>
      <c r="O98" s="3"/>
      <c r="P98" s="3"/>
      <c r="Q98" s="3"/>
      <c r="R98" s="3"/>
      <c r="S98" s="3"/>
      <c r="T98" s="3"/>
      <c r="U98" s="3"/>
      <c r="V98" s="3"/>
      <c r="W98" s="3"/>
      <c r="X98" s="3"/>
      <c r="Y98" s="3"/>
      <c r="Z98" s="3"/>
      <c r="AA98" s="3"/>
      <c r="AB98" s="1" t="s">
        <v>1</v>
      </c>
    </row>
    <row r="99" spans="2:28">
      <c r="B99" s="22"/>
      <c r="D99" s="2" t="str">
        <f>IF($D$1="ORDER BOOK",GetActionStrOrder(X99, H99, T99),IF($D$1="POSITIONS",GetActionStrPosition(F99, S99),IF(E99="","","")))</f>
        <v/>
      </c>
      <c r="E99" s="3"/>
      <c r="F99" s="3"/>
      <c r="G99" s="3"/>
      <c r="H99" s="3"/>
      <c r="I99" s="3"/>
      <c r="J99" s="3"/>
      <c r="K99" s="3"/>
      <c r="L99" s="3"/>
      <c r="M99" s="3"/>
      <c r="N99" s="3"/>
      <c r="O99" s="3"/>
      <c r="P99" s="3"/>
      <c r="Q99" s="3"/>
      <c r="R99" s="3"/>
      <c r="S99" s="3"/>
      <c r="T99" s="3"/>
      <c r="U99" s="3"/>
      <c r="V99" s="3"/>
      <c r="W99" s="3"/>
      <c r="X99" s="3"/>
      <c r="Y99" s="3"/>
      <c r="Z99" s="3"/>
      <c r="AA99" s="3"/>
      <c r="AB99" s="1" t="s">
        <v>1</v>
      </c>
    </row>
    <row r="100" spans="2:28">
      <c r="B100" s="22"/>
      <c r="D100" s="2" t="str">
        <f>IF($D$1="ORDER BOOK",GetActionStrOrder(X100, H100, T100),IF($D$1="POSITIONS",GetActionStrPosition(F100, S100),IF(E100="","","")))</f>
        <v/>
      </c>
      <c r="E100" s="3"/>
      <c r="F100" s="3"/>
      <c r="G100" s="3"/>
      <c r="H100" s="3"/>
      <c r="I100" s="3"/>
      <c r="J100" s="3"/>
      <c r="K100" s="3"/>
      <c r="L100" s="3"/>
      <c r="M100" s="3"/>
      <c r="N100" s="3"/>
      <c r="O100" s="3"/>
      <c r="P100" s="3"/>
      <c r="Q100" s="3"/>
      <c r="R100" s="3"/>
      <c r="S100" s="3"/>
      <c r="T100" s="3"/>
      <c r="U100" s="3"/>
      <c r="V100" s="3"/>
      <c r="W100" s="3"/>
      <c r="X100" s="3"/>
      <c r="Y100" s="3"/>
      <c r="Z100" s="3"/>
      <c r="AA100" s="3"/>
      <c r="AB100" s="1" t="s">
        <v>1</v>
      </c>
    </row>
    <row r="101" spans="2:28">
      <c r="B101" s="22"/>
      <c r="D101" s="2" t="str">
        <f>IF($D$1="ORDER BOOK",GetActionStrOrder(X101, H101, T101),IF($D$1="POSITIONS",GetActionStrPosition(F101, S101),IF(E101="","","")))</f>
        <v/>
      </c>
      <c r="E101" s="3"/>
      <c r="F101" s="3"/>
      <c r="G101" s="3"/>
      <c r="H101" s="3"/>
      <c r="I101" s="3"/>
      <c r="J101" s="3"/>
      <c r="K101" s="3"/>
      <c r="L101" s="3"/>
      <c r="M101" s="3"/>
      <c r="N101" s="3"/>
      <c r="O101" s="3"/>
      <c r="P101" s="3"/>
      <c r="Q101" s="3"/>
      <c r="R101" s="3"/>
      <c r="S101" s="3"/>
      <c r="T101" s="3"/>
      <c r="U101" s="3"/>
      <c r="V101" s="3"/>
      <c r="W101" s="3"/>
      <c r="X101" s="3"/>
      <c r="Y101" s="3"/>
      <c r="Z101" s="3"/>
      <c r="AA101" s="3"/>
      <c r="AB101" s="1" t="s">
        <v>1</v>
      </c>
    </row>
    <row r="102" spans="2:28">
      <c r="B102" s="22"/>
      <c r="D102" s="2" t="str">
        <f>IF($D$1="ORDER BOOK",GetActionStrOrder(X102, H102, T102),IF($D$1="POSITIONS",GetActionStrPosition(F102, S102),IF(E102="","","")))</f>
        <v/>
      </c>
      <c r="E102" s="3"/>
      <c r="F102" s="3"/>
      <c r="G102" s="3"/>
      <c r="H102" s="3"/>
      <c r="I102" s="3"/>
      <c r="J102" s="3"/>
      <c r="K102" s="3"/>
      <c r="L102" s="3"/>
      <c r="M102" s="3"/>
      <c r="N102" s="3"/>
      <c r="O102" s="3"/>
      <c r="P102" s="3"/>
      <c r="Q102" s="3"/>
      <c r="R102" s="3"/>
      <c r="S102" s="3"/>
      <c r="T102" s="3"/>
      <c r="U102" s="3"/>
      <c r="V102" s="3"/>
      <c r="W102" s="3"/>
      <c r="X102" s="3"/>
      <c r="Y102" s="3"/>
      <c r="Z102" s="3"/>
      <c r="AA102" s="3"/>
      <c r="AB102" s="1" t="s">
        <v>1</v>
      </c>
    </row>
    <row r="103" spans="2:28">
      <c r="B103" s="22"/>
      <c r="D103" s="2" t="str">
        <f>IF($D$1="ORDER BOOK",GetActionStrOrder(X103, H103, T103),IF($D$1="POSITIONS",GetActionStrPosition(F103, S103),IF(E103="","","")))</f>
        <v/>
      </c>
      <c r="E103" s="3"/>
      <c r="F103" s="3"/>
      <c r="G103" s="3"/>
      <c r="H103" s="3"/>
      <c r="I103" s="3"/>
      <c r="J103" s="3"/>
      <c r="K103" s="3"/>
      <c r="L103" s="3"/>
      <c r="M103" s="3"/>
      <c r="N103" s="3"/>
      <c r="O103" s="3"/>
      <c r="P103" s="3"/>
      <c r="Q103" s="3"/>
      <c r="R103" s="3"/>
      <c r="S103" s="3"/>
      <c r="T103" s="3"/>
      <c r="U103" s="3"/>
      <c r="V103" s="3"/>
      <c r="W103" s="3"/>
      <c r="X103" s="3"/>
      <c r="Y103" s="3"/>
      <c r="Z103" s="3"/>
      <c r="AA103" s="3"/>
      <c r="AB103" s="1" t="s">
        <v>1</v>
      </c>
    </row>
    <row r="104" spans="2:28">
      <c r="B104" s="22"/>
      <c r="D104" s="2" t="str">
        <f>IF($D$1="ORDER BOOK",GetActionStrOrder(X104, H104, T104),IF($D$1="POSITIONS",GetActionStrPosition(F104, S104),IF(E104="","","")))</f>
        <v/>
      </c>
      <c r="E104" s="3"/>
      <c r="F104" s="3"/>
      <c r="G104" s="3"/>
      <c r="H104" s="3"/>
      <c r="I104" s="3"/>
      <c r="J104" s="3"/>
      <c r="K104" s="3"/>
      <c r="L104" s="3"/>
      <c r="M104" s="3"/>
      <c r="N104" s="3"/>
      <c r="O104" s="3"/>
      <c r="P104" s="3"/>
      <c r="Q104" s="3"/>
      <c r="R104" s="3"/>
      <c r="S104" s="3"/>
      <c r="T104" s="3"/>
      <c r="U104" s="3"/>
      <c r="V104" s="3"/>
      <c r="W104" s="3"/>
      <c r="X104" s="3"/>
      <c r="Y104" s="3"/>
      <c r="Z104" s="3"/>
      <c r="AA104" s="3"/>
      <c r="AB104" s="1" t="s">
        <v>1</v>
      </c>
    </row>
    <row r="105" spans="2:28">
      <c r="B105" s="22"/>
      <c r="D105" s="2" t="str">
        <f>IF($D$1="ORDER BOOK",GetActionStrOrder(X105, H105, T105),IF($D$1="POSITIONS",GetActionStrPosition(F105, S105),IF(E105="","","")))</f>
        <v/>
      </c>
      <c r="E105" s="3"/>
      <c r="F105" s="3"/>
      <c r="G105" s="3"/>
      <c r="H105" s="3"/>
      <c r="I105" s="3"/>
      <c r="J105" s="3"/>
      <c r="K105" s="3"/>
      <c r="L105" s="3"/>
      <c r="M105" s="3"/>
      <c r="N105" s="3"/>
      <c r="O105" s="3"/>
      <c r="P105" s="3"/>
      <c r="Q105" s="3"/>
      <c r="R105" s="3"/>
      <c r="S105" s="3"/>
      <c r="T105" s="3"/>
      <c r="U105" s="3"/>
      <c r="V105" s="3"/>
      <c r="W105" s="3"/>
      <c r="X105" s="3"/>
      <c r="Y105" s="3"/>
      <c r="Z105" s="3"/>
      <c r="AA105" s="3"/>
      <c r="AB105" s="1" t="s">
        <v>1</v>
      </c>
    </row>
    <row r="106" spans="2:28">
      <c r="B106" s="22"/>
      <c r="D106" s="2" t="str">
        <f>IF($D$1="ORDER BOOK",GetActionStrOrder(X106, H106, T106),IF($D$1="POSITIONS",GetActionStrPosition(F106, S106),IF(E106="","","")))</f>
        <v/>
      </c>
      <c r="E106" s="3"/>
      <c r="F106" s="3"/>
      <c r="G106" s="3"/>
      <c r="H106" s="3"/>
      <c r="I106" s="3"/>
      <c r="J106" s="3"/>
      <c r="K106" s="3"/>
      <c r="L106" s="3"/>
      <c r="M106" s="3"/>
      <c r="N106" s="3"/>
      <c r="O106" s="3"/>
      <c r="P106" s="3"/>
      <c r="Q106" s="3"/>
      <c r="R106" s="3"/>
      <c r="S106" s="3"/>
      <c r="T106" s="3"/>
      <c r="U106" s="3"/>
      <c r="V106" s="3"/>
      <c r="W106" s="3"/>
      <c r="X106" s="3"/>
      <c r="Y106" s="3"/>
      <c r="Z106" s="3"/>
      <c r="AA106" s="3"/>
      <c r="AB106" s="1" t="s">
        <v>1</v>
      </c>
    </row>
    <row r="107" spans="2:28">
      <c r="B107" s="22"/>
      <c r="D107" s="2" t="str">
        <f>IF($D$1="ORDER BOOK",GetActionStrOrder(X107, H107, T107),IF($D$1="POSITIONS",GetActionStrPosition(F107, S107),IF(E107="","","")))</f>
        <v/>
      </c>
      <c r="E107" s="3"/>
      <c r="F107" s="3"/>
      <c r="G107" s="3"/>
      <c r="H107" s="3"/>
      <c r="I107" s="3"/>
      <c r="J107" s="3"/>
      <c r="K107" s="3"/>
      <c r="L107" s="3"/>
      <c r="M107" s="3"/>
      <c r="N107" s="3"/>
      <c r="O107" s="3"/>
      <c r="P107" s="3"/>
      <c r="Q107" s="3"/>
      <c r="R107" s="3"/>
      <c r="S107" s="3"/>
      <c r="T107" s="3"/>
      <c r="U107" s="3"/>
      <c r="V107" s="3"/>
      <c r="W107" s="3"/>
      <c r="X107" s="3"/>
      <c r="Y107" s="3"/>
      <c r="Z107" s="3"/>
      <c r="AA107" s="3"/>
      <c r="AB107" s="1" t="s">
        <v>1</v>
      </c>
    </row>
    <row r="108" spans="2:28">
      <c r="B108" s="22"/>
      <c r="D108" s="2" t="str">
        <f>IF($D$1="ORDER BOOK",GetActionStrOrder(X108, H108, T108),IF($D$1="POSITIONS",GetActionStrPosition(F108, S108),IF(E108="","","")))</f>
        <v/>
      </c>
      <c r="E108" s="3"/>
      <c r="F108" s="3"/>
      <c r="G108" s="3"/>
      <c r="H108" s="3"/>
      <c r="I108" s="3"/>
      <c r="J108" s="3"/>
      <c r="K108" s="3"/>
      <c r="L108" s="3"/>
      <c r="M108" s="3"/>
      <c r="N108" s="3"/>
      <c r="O108" s="3"/>
      <c r="P108" s="3"/>
      <c r="Q108" s="3"/>
      <c r="R108" s="3"/>
      <c r="S108" s="3"/>
      <c r="T108" s="3"/>
      <c r="U108" s="3"/>
      <c r="V108" s="3"/>
      <c r="W108" s="3"/>
      <c r="X108" s="3"/>
      <c r="Y108" s="3"/>
      <c r="Z108" s="3"/>
      <c r="AA108" s="3"/>
      <c r="AB108" s="1" t="s">
        <v>1</v>
      </c>
    </row>
    <row r="109" spans="2:28">
      <c r="B109" s="22"/>
      <c r="D109" s="2" t="str">
        <f>IF($D$1="ORDER BOOK",GetActionStrOrder(X109, H109, T109),IF($D$1="POSITIONS",GetActionStrPosition(F109, S109),IF(E109="","","")))</f>
        <v/>
      </c>
      <c r="E109" s="3"/>
      <c r="F109" s="3"/>
      <c r="G109" s="3"/>
      <c r="H109" s="3"/>
      <c r="I109" s="3"/>
      <c r="J109" s="3"/>
      <c r="K109" s="3"/>
      <c r="L109" s="3"/>
      <c r="M109" s="3"/>
      <c r="N109" s="3"/>
      <c r="O109" s="3"/>
      <c r="P109" s="3"/>
      <c r="Q109" s="3"/>
      <c r="R109" s="3"/>
      <c r="S109" s="3"/>
      <c r="T109" s="3"/>
      <c r="U109" s="3"/>
      <c r="V109" s="3"/>
      <c r="W109" s="3"/>
      <c r="X109" s="3"/>
      <c r="Y109" s="3"/>
      <c r="Z109" s="3"/>
      <c r="AA109" s="3"/>
      <c r="AB109" s="1" t="s">
        <v>1</v>
      </c>
    </row>
    <row r="110" spans="2:28">
      <c r="B110" s="22"/>
      <c r="D110" s="2" t="str">
        <f>IF($D$1="ORDER BOOK",GetActionStrOrder(X110, H110, T110),IF($D$1="POSITIONS",GetActionStrPosition(F110, S110),IF(E110="","","")))</f>
        <v/>
      </c>
      <c r="E110" s="3"/>
      <c r="F110" s="3"/>
      <c r="G110" s="3"/>
      <c r="H110" s="3"/>
      <c r="I110" s="3"/>
      <c r="J110" s="3"/>
      <c r="K110" s="3"/>
      <c r="L110" s="3"/>
      <c r="M110" s="3"/>
      <c r="N110" s="3"/>
      <c r="O110" s="3"/>
      <c r="P110" s="3"/>
      <c r="Q110" s="3"/>
      <c r="R110" s="3"/>
      <c r="S110" s="3"/>
      <c r="T110" s="3"/>
      <c r="U110" s="3"/>
      <c r="V110" s="3"/>
      <c r="W110" s="3"/>
      <c r="X110" s="3"/>
      <c r="Y110" s="3"/>
      <c r="Z110" s="3"/>
      <c r="AA110" s="3"/>
      <c r="AB110" s="1" t="s">
        <v>1</v>
      </c>
    </row>
    <row r="111" spans="2:28">
      <c r="B111" s="22"/>
      <c r="D111" s="2" t="str">
        <f>IF($D$1="ORDER BOOK",GetActionStrOrder(X111, H111, T111),IF($D$1="POSITIONS",GetActionStrPosition(F111, S111),IF(E111="","","")))</f>
        <v/>
      </c>
      <c r="E111" s="3"/>
      <c r="F111" s="3"/>
      <c r="G111" s="3"/>
      <c r="H111" s="3"/>
      <c r="I111" s="3"/>
      <c r="J111" s="3"/>
      <c r="K111" s="3"/>
      <c r="L111" s="3"/>
      <c r="M111" s="3"/>
      <c r="N111" s="3"/>
      <c r="O111" s="3"/>
      <c r="P111" s="3"/>
      <c r="Q111" s="3"/>
      <c r="R111" s="3"/>
      <c r="S111" s="3"/>
      <c r="T111" s="3"/>
      <c r="U111" s="3"/>
      <c r="V111" s="3"/>
      <c r="W111" s="3"/>
      <c r="X111" s="3"/>
      <c r="Y111" s="3"/>
      <c r="Z111" s="3"/>
      <c r="AA111" s="3"/>
      <c r="AB111" s="1" t="s">
        <v>1</v>
      </c>
    </row>
    <row r="112" spans="2:28">
      <c r="B112" s="22"/>
      <c r="D112" s="2" t="str">
        <f>IF($D$1="ORDER BOOK",GetActionStrOrder(X112, H112, T112),IF($D$1="POSITIONS",GetActionStrPosition(F112, S112),IF(E112="","","")))</f>
        <v/>
      </c>
      <c r="E112" s="3"/>
      <c r="F112" s="3"/>
      <c r="G112" s="3"/>
      <c r="H112" s="3"/>
      <c r="I112" s="3"/>
      <c r="J112" s="3"/>
      <c r="K112" s="3"/>
      <c r="L112" s="3"/>
      <c r="M112" s="3"/>
      <c r="N112" s="3"/>
      <c r="O112" s="3"/>
      <c r="P112" s="3"/>
      <c r="Q112" s="3"/>
      <c r="R112" s="3"/>
      <c r="S112" s="3"/>
      <c r="T112" s="3"/>
      <c r="U112" s="3"/>
      <c r="V112" s="3"/>
      <c r="W112" s="3"/>
      <c r="X112" s="3"/>
      <c r="Y112" s="3"/>
      <c r="Z112" s="3"/>
      <c r="AA112" s="3"/>
      <c r="AB112" s="1" t="s">
        <v>1</v>
      </c>
    </row>
    <row r="113" spans="2:28">
      <c r="B113" s="22"/>
      <c r="D113" s="2" t="str">
        <f>IF($D$1="ORDER BOOK",GetActionStrOrder(X113, H113, T113),IF($D$1="POSITIONS",GetActionStrPosition(F113, S113),IF(E113="","","")))</f>
        <v/>
      </c>
      <c r="E113" s="3"/>
      <c r="F113" s="3"/>
      <c r="G113" s="3"/>
      <c r="H113" s="3"/>
      <c r="I113" s="3"/>
      <c r="J113" s="3"/>
      <c r="K113" s="3"/>
      <c r="L113" s="3"/>
      <c r="M113" s="3"/>
      <c r="N113" s="3"/>
      <c r="O113" s="3"/>
      <c r="P113" s="3"/>
      <c r="Q113" s="3"/>
      <c r="R113" s="3"/>
      <c r="S113" s="3"/>
      <c r="T113" s="3"/>
      <c r="U113" s="3"/>
      <c r="V113" s="3"/>
      <c r="W113" s="3"/>
      <c r="X113" s="3"/>
      <c r="Y113" s="3"/>
      <c r="Z113" s="3"/>
      <c r="AA113" s="3"/>
      <c r="AB113" s="1" t="s">
        <v>1</v>
      </c>
    </row>
    <row r="114" spans="2:28">
      <c r="B114" s="22"/>
      <c r="D114" s="2" t="str">
        <f>IF($D$1="ORDER BOOK",GetActionStrOrder(X114, H114, T114),IF($D$1="POSITIONS",GetActionStrPosition(F114, S114),IF(E114="","","")))</f>
        <v/>
      </c>
      <c r="E114" s="3"/>
      <c r="F114" s="3"/>
      <c r="G114" s="3"/>
      <c r="H114" s="3"/>
      <c r="I114" s="3"/>
      <c r="J114" s="3"/>
      <c r="K114" s="3"/>
      <c r="L114" s="3"/>
      <c r="M114" s="3"/>
      <c r="N114" s="3"/>
      <c r="O114" s="3"/>
      <c r="P114" s="3"/>
      <c r="Q114" s="3"/>
      <c r="R114" s="3"/>
      <c r="S114" s="3"/>
      <c r="T114" s="3"/>
      <c r="U114" s="3"/>
      <c r="V114" s="3"/>
      <c r="W114" s="3"/>
      <c r="X114" s="3"/>
      <c r="Y114" s="3"/>
      <c r="Z114" s="3"/>
      <c r="AA114" s="3"/>
      <c r="AB114" s="1" t="s">
        <v>1</v>
      </c>
    </row>
    <row r="115" spans="2:28">
      <c r="B115" s="22"/>
      <c r="D115" s="2" t="str">
        <f>IF($D$1="ORDER BOOK",GetActionStrOrder(X115, H115, T115),IF($D$1="POSITIONS",GetActionStrPosition(F115, S115),IF(E115="","","")))</f>
        <v/>
      </c>
      <c r="E115" s="3"/>
      <c r="F115" s="3"/>
      <c r="G115" s="3"/>
      <c r="H115" s="3"/>
      <c r="I115" s="3"/>
      <c r="J115" s="3"/>
      <c r="K115" s="3"/>
      <c r="L115" s="3"/>
      <c r="M115" s="3"/>
      <c r="N115" s="3"/>
      <c r="O115" s="3"/>
      <c r="P115" s="3"/>
      <c r="Q115" s="3"/>
      <c r="R115" s="3"/>
      <c r="S115" s="3"/>
      <c r="T115" s="3"/>
      <c r="U115" s="3"/>
      <c r="V115" s="3"/>
      <c r="W115" s="3"/>
      <c r="X115" s="3"/>
      <c r="Y115" s="3"/>
      <c r="Z115" s="3"/>
      <c r="AA115" s="3"/>
      <c r="AB115" s="1" t="s">
        <v>1</v>
      </c>
    </row>
    <row r="116" spans="2:28">
      <c r="B116" s="22"/>
      <c r="D116" s="2" t="str">
        <f>IF($D$1="ORDER BOOK",GetActionStrOrder(X116, H116, T116),IF($D$1="POSITIONS",GetActionStrPosition(F116, S116),IF(E116="","","")))</f>
        <v/>
      </c>
      <c r="E116" s="3"/>
      <c r="F116" s="3"/>
      <c r="G116" s="3"/>
      <c r="H116" s="3"/>
      <c r="I116" s="3"/>
      <c r="J116" s="3"/>
      <c r="K116" s="3"/>
      <c r="L116" s="3"/>
      <c r="M116" s="3"/>
      <c r="N116" s="3"/>
      <c r="O116" s="3"/>
      <c r="P116" s="3"/>
      <c r="Q116" s="3"/>
      <c r="R116" s="3"/>
      <c r="S116" s="3"/>
      <c r="T116" s="3"/>
      <c r="U116" s="3"/>
      <c r="V116" s="3"/>
      <c r="W116" s="3"/>
      <c r="X116" s="3"/>
      <c r="Y116" s="3"/>
      <c r="Z116" s="3"/>
      <c r="AA116" s="3"/>
      <c r="AB116" s="1" t="s">
        <v>1</v>
      </c>
    </row>
    <row r="117" spans="2:28">
      <c r="B117" s="22"/>
      <c r="D117" s="2" t="str">
        <f>IF($D$1="ORDER BOOK",GetActionStrOrder(X117, H117, T117),IF($D$1="POSITIONS",GetActionStrPosition(F117, S117),IF(E117="","","")))</f>
        <v/>
      </c>
      <c r="E117" s="3"/>
      <c r="F117" s="3"/>
      <c r="G117" s="3"/>
      <c r="H117" s="3"/>
      <c r="I117" s="3"/>
      <c r="J117" s="3"/>
      <c r="K117" s="3"/>
      <c r="L117" s="3"/>
      <c r="M117" s="3"/>
      <c r="N117" s="3"/>
      <c r="O117" s="3"/>
      <c r="P117" s="3"/>
      <c r="Q117" s="3"/>
      <c r="R117" s="3"/>
      <c r="S117" s="3"/>
      <c r="T117" s="3"/>
      <c r="U117" s="3"/>
      <c r="V117" s="3"/>
      <c r="W117" s="3"/>
      <c r="X117" s="3"/>
      <c r="Y117" s="3"/>
      <c r="Z117" s="3"/>
      <c r="AA117" s="3"/>
      <c r="AB117" s="1" t="s">
        <v>1</v>
      </c>
    </row>
    <row r="118" spans="2:28">
      <c r="B118" s="22"/>
      <c r="D118" s="2" t="str">
        <f>IF($D$1="ORDER BOOK",GetActionStrOrder(X118, H118, T118),IF($D$1="POSITIONS",GetActionStrPosition(F118, S118),IF(E118="","","")))</f>
        <v/>
      </c>
      <c r="E118" s="3"/>
      <c r="F118" s="3"/>
      <c r="G118" s="3"/>
      <c r="H118" s="3"/>
      <c r="I118" s="3"/>
      <c r="J118" s="3"/>
      <c r="K118" s="3"/>
      <c r="L118" s="3"/>
      <c r="M118" s="3"/>
      <c r="N118" s="3"/>
      <c r="O118" s="3"/>
      <c r="P118" s="3"/>
      <c r="Q118" s="3"/>
      <c r="R118" s="3"/>
      <c r="S118" s="3"/>
      <c r="T118" s="3"/>
      <c r="U118" s="3"/>
      <c r="V118" s="3"/>
      <c r="W118" s="3"/>
      <c r="X118" s="3"/>
      <c r="Y118" s="3"/>
      <c r="Z118" s="3"/>
      <c r="AA118" s="3"/>
      <c r="AB118" s="1" t="s">
        <v>1</v>
      </c>
    </row>
    <row r="119" spans="2:28">
      <c r="B119" s="22"/>
      <c r="D119" s="2" t="str">
        <f>IF($D$1="ORDER BOOK",GetActionStrOrder(X119, H119, T119),IF($D$1="POSITIONS",GetActionStrPosition(F119, S119),IF(E119="","","")))</f>
        <v/>
      </c>
      <c r="E119" s="3"/>
      <c r="F119" s="3"/>
      <c r="G119" s="3"/>
      <c r="H119" s="3"/>
      <c r="I119" s="3"/>
      <c r="J119" s="3"/>
      <c r="K119" s="3"/>
      <c r="L119" s="3"/>
      <c r="M119" s="3"/>
      <c r="N119" s="3"/>
      <c r="O119" s="3"/>
      <c r="P119" s="3"/>
      <c r="Q119" s="3"/>
      <c r="R119" s="3"/>
      <c r="S119" s="3"/>
      <c r="T119" s="3"/>
      <c r="U119" s="3"/>
      <c r="V119" s="3"/>
      <c r="W119" s="3"/>
      <c r="X119" s="3"/>
      <c r="Y119" s="3"/>
      <c r="Z119" s="3"/>
      <c r="AA119" s="3"/>
      <c r="AB119" s="1" t="s">
        <v>1</v>
      </c>
    </row>
    <row r="120" spans="2:28">
      <c r="B120" s="22"/>
      <c r="D120" s="2" t="str">
        <f>IF($D$1="ORDER BOOK",GetActionStrOrder(X120, H120, T120),IF($D$1="POSITIONS",GetActionStrPosition(F120, S120),IF(E120="","","")))</f>
        <v/>
      </c>
      <c r="E120" s="3"/>
      <c r="F120" s="3"/>
      <c r="G120" s="3"/>
      <c r="H120" s="3"/>
      <c r="I120" s="3"/>
      <c r="J120" s="3"/>
      <c r="K120" s="3"/>
      <c r="L120" s="3"/>
      <c r="M120" s="3"/>
      <c r="N120" s="3"/>
      <c r="O120" s="3"/>
      <c r="P120" s="3"/>
      <c r="Q120" s="3"/>
      <c r="R120" s="3"/>
      <c r="S120" s="3"/>
      <c r="T120" s="3"/>
      <c r="U120" s="3"/>
      <c r="V120" s="3"/>
      <c r="W120" s="3"/>
      <c r="X120" s="3"/>
      <c r="Y120" s="3"/>
      <c r="Z120" s="3"/>
      <c r="AA120" s="3"/>
      <c r="AB120" s="1" t="s">
        <v>1</v>
      </c>
    </row>
    <row r="121" spans="2:28">
      <c r="B121" s="22"/>
      <c r="D121" s="2" t="str">
        <f>IF($D$1="ORDER BOOK",GetActionStrOrder(X121, H121, T121),IF($D$1="POSITIONS",GetActionStrPosition(F121, S121),IF(E121="","","")))</f>
        <v/>
      </c>
      <c r="E121" s="3"/>
      <c r="F121" s="3"/>
      <c r="G121" s="3"/>
      <c r="H121" s="3"/>
      <c r="I121" s="3"/>
      <c r="J121" s="3"/>
      <c r="K121" s="3"/>
      <c r="L121" s="3"/>
      <c r="M121" s="3"/>
      <c r="N121" s="3"/>
      <c r="O121" s="3"/>
      <c r="P121" s="3"/>
      <c r="Q121" s="3"/>
      <c r="R121" s="3"/>
      <c r="S121" s="3"/>
      <c r="T121" s="3"/>
      <c r="U121" s="3"/>
      <c r="V121" s="3"/>
      <c r="W121" s="3"/>
      <c r="X121" s="3"/>
      <c r="Y121" s="3"/>
      <c r="Z121" s="3"/>
      <c r="AA121" s="3"/>
      <c r="AB121" s="1" t="s">
        <v>1</v>
      </c>
    </row>
    <row r="122" spans="2:28">
      <c r="B122" s="22"/>
      <c r="D122" s="2" t="str">
        <f>IF($D$1="ORDER BOOK",GetActionStrOrder(X122, H122, T122),IF($D$1="POSITIONS",GetActionStrPosition(F122, S122),IF(E122="","","")))</f>
        <v/>
      </c>
      <c r="E122" s="3"/>
      <c r="F122" s="3"/>
      <c r="G122" s="3"/>
      <c r="H122" s="3"/>
      <c r="I122" s="3"/>
      <c r="J122" s="3"/>
      <c r="K122" s="3"/>
      <c r="L122" s="3"/>
      <c r="M122" s="3"/>
      <c r="N122" s="3"/>
      <c r="O122" s="3"/>
      <c r="P122" s="3"/>
      <c r="Q122" s="3"/>
      <c r="R122" s="3"/>
      <c r="S122" s="3"/>
      <c r="T122" s="3"/>
      <c r="U122" s="3"/>
      <c r="V122" s="3"/>
      <c r="W122" s="3"/>
      <c r="X122" s="3"/>
      <c r="Y122" s="3"/>
      <c r="Z122" s="3"/>
      <c r="AA122" s="3"/>
      <c r="AB122" s="1" t="s">
        <v>1</v>
      </c>
    </row>
    <row r="123" spans="2:28">
      <c r="B123" s="22"/>
      <c r="D123" s="2" t="str">
        <f>IF($D$1="ORDER BOOK",GetActionStrOrder(X123, H123, T123),IF($D$1="POSITIONS",GetActionStrPosition(F123, S123),IF(E123="","","")))</f>
        <v/>
      </c>
      <c r="E123" s="3"/>
      <c r="F123" s="3"/>
      <c r="G123" s="3"/>
      <c r="H123" s="3"/>
      <c r="I123" s="3"/>
      <c r="J123" s="3"/>
      <c r="K123" s="3"/>
      <c r="L123" s="3"/>
      <c r="M123" s="3"/>
      <c r="N123" s="3"/>
      <c r="O123" s="3"/>
      <c r="P123" s="3"/>
      <c r="Q123" s="3"/>
      <c r="R123" s="3"/>
      <c r="S123" s="3"/>
      <c r="T123" s="3"/>
      <c r="U123" s="3"/>
      <c r="V123" s="3"/>
      <c r="W123" s="3"/>
      <c r="X123" s="3"/>
      <c r="Y123" s="3"/>
      <c r="Z123" s="3"/>
      <c r="AA123" s="3"/>
      <c r="AB123" s="1" t="s">
        <v>1</v>
      </c>
    </row>
    <row r="124" spans="2:28">
      <c r="B124" s="22"/>
      <c r="D124" s="2" t="str">
        <f>IF($D$1="ORDER BOOK",GetActionStrOrder(X124, H124, T124),IF($D$1="POSITIONS",GetActionStrPosition(F124, S124),IF(E124="","","")))</f>
        <v/>
      </c>
      <c r="E124" s="3"/>
      <c r="F124" s="3"/>
      <c r="G124" s="3"/>
      <c r="H124" s="3"/>
      <c r="I124" s="3"/>
      <c r="J124" s="3"/>
      <c r="K124" s="3"/>
      <c r="L124" s="3"/>
      <c r="M124" s="3"/>
      <c r="N124" s="3"/>
      <c r="O124" s="3"/>
      <c r="P124" s="3"/>
      <c r="Q124" s="3"/>
      <c r="R124" s="3"/>
      <c r="S124" s="3"/>
      <c r="T124" s="3"/>
      <c r="U124" s="3"/>
      <c r="V124" s="3"/>
      <c r="W124" s="3"/>
      <c r="X124" s="3"/>
      <c r="Y124" s="3"/>
      <c r="Z124" s="3"/>
      <c r="AA124" s="3"/>
      <c r="AB124" s="1" t="s">
        <v>1</v>
      </c>
    </row>
    <row r="125" spans="2:28">
      <c r="B125" s="22"/>
      <c r="D125" s="2" t="str">
        <f>IF($D$1="ORDER BOOK",GetActionStrOrder(X125, H125, T125),IF($D$1="POSITIONS",GetActionStrPosition(F125, S125),IF(E125="","","")))</f>
        <v/>
      </c>
      <c r="E125" s="3"/>
      <c r="F125" s="3"/>
      <c r="G125" s="3"/>
      <c r="H125" s="3"/>
      <c r="I125" s="3"/>
      <c r="J125" s="3"/>
      <c r="K125" s="3"/>
      <c r="L125" s="3"/>
      <c r="M125" s="3"/>
      <c r="N125" s="3"/>
      <c r="O125" s="3"/>
      <c r="P125" s="3"/>
      <c r="Q125" s="3"/>
      <c r="R125" s="3"/>
      <c r="S125" s="3"/>
      <c r="T125" s="3"/>
      <c r="U125" s="3"/>
      <c r="V125" s="3"/>
      <c r="W125" s="3"/>
      <c r="X125" s="3"/>
      <c r="Y125" s="3"/>
      <c r="Z125" s="3"/>
      <c r="AA125" s="3"/>
      <c r="AB125" s="1" t="s">
        <v>1</v>
      </c>
    </row>
    <row r="126" spans="2:28">
      <c r="B126" s="22"/>
      <c r="D126" s="2" t="str">
        <f>IF($D$1="ORDER BOOK",GetActionStrOrder(X126, H126, T126),IF($D$1="POSITIONS",GetActionStrPosition(F126, S126),IF(E126="","","")))</f>
        <v/>
      </c>
      <c r="E126" s="3"/>
      <c r="F126" s="3"/>
      <c r="G126" s="3"/>
      <c r="H126" s="3"/>
      <c r="I126" s="3"/>
      <c r="J126" s="3"/>
      <c r="K126" s="3"/>
      <c r="L126" s="3"/>
      <c r="M126" s="3"/>
      <c r="N126" s="3"/>
      <c r="O126" s="3"/>
      <c r="P126" s="3"/>
      <c r="Q126" s="3"/>
      <c r="R126" s="3"/>
      <c r="S126" s="3"/>
      <c r="T126" s="3"/>
      <c r="U126" s="3"/>
      <c r="V126" s="3"/>
      <c r="W126" s="3"/>
      <c r="X126" s="3"/>
      <c r="Y126" s="3"/>
      <c r="Z126" s="3"/>
      <c r="AA126" s="3"/>
      <c r="AB126" s="1" t="s">
        <v>1</v>
      </c>
    </row>
    <row r="127" spans="2:28">
      <c r="B127" s="22"/>
      <c r="D127" s="2" t="str">
        <f>IF($D$1="ORDER BOOK",GetActionStrOrder(X127, H127, T127),IF($D$1="POSITIONS",GetActionStrPosition(F127, S127),IF(E127="","","")))</f>
        <v/>
      </c>
      <c r="E127" s="3"/>
      <c r="F127" s="3"/>
      <c r="G127" s="3"/>
      <c r="H127" s="3"/>
      <c r="I127" s="3"/>
      <c r="J127" s="3"/>
      <c r="K127" s="3"/>
      <c r="L127" s="3"/>
      <c r="M127" s="3"/>
      <c r="N127" s="3"/>
      <c r="O127" s="3"/>
      <c r="P127" s="3"/>
      <c r="Q127" s="3"/>
      <c r="R127" s="3"/>
      <c r="S127" s="3"/>
      <c r="T127" s="3"/>
      <c r="U127" s="3"/>
      <c r="V127" s="3"/>
      <c r="W127" s="3"/>
      <c r="X127" s="3"/>
      <c r="Y127" s="3"/>
      <c r="Z127" s="3"/>
      <c r="AA127" s="3"/>
      <c r="AB127" s="1" t="s">
        <v>1</v>
      </c>
    </row>
    <row r="128" spans="2:28">
      <c r="B128" s="22"/>
      <c r="D128" s="2" t="str">
        <f>IF($D$1="ORDER BOOK",GetActionStrOrder(X128, H128, T128),IF($D$1="POSITIONS",GetActionStrPosition(F128, S128),IF(E128="","","")))</f>
        <v/>
      </c>
      <c r="E128" s="3"/>
      <c r="F128" s="3"/>
      <c r="G128" s="3"/>
      <c r="H128" s="3"/>
      <c r="I128" s="3"/>
      <c r="J128" s="3"/>
      <c r="K128" s="3"/>
      <c r="L128" s="3"/>
      <c r="M128" s="3"/>
      <c r="N128" s="3"/>
      <c r="O128" s="3"/>
      <c r="P128" s="3"/>
      <c r="Q128" s="3"/>
      <c r="R128" s="3"/>
      <c r="S128" s="3"/>
      <c r="T128" s="3"/>
      <c r="U128" s="3"/>
      <c r="V128" s="3"/>
      <c r="W128" s="3"/>
      <c r="X128" s="3"/>
      <c r="Y128" s="3"/>
      <c r="Z128" s="3"/>
      <c r="AA128" s="3"/>
      <c r="AB128" s="1" t="s">
        <v>1</v>
      </c>
    </row>
    <row r="129" spans="2:28">
      <c r="B129" s="22"/>
      <c r="D129" s="2" t="str">
        <f>IF($D$1="ORDER BOOK",GetActionStrOrder(X129, H129, T129),IF($D$1="POSITIONS",GetActionStrPosition(F129, S129),IF(E129="","","")))</f>
        <v/>
      </c>
      <c r="E129" s="3"/>
      <c r="F129" s="3"/>
      <c r="G129" s="3"/>
      <c r="H129" s="3"/>
      <c r="I129" s="3"/>
      <c r="J129" s="3"/>
      <c r="K129" s="3"/>
      <c r="L129" s="3"/>
      <c r="M129" s="3"/>
      <c r="N129" s="3"/>
      <c r="O129" s="3"/>
      <c r="P129" s="3"/>
      <c r="Q129" s="3"/>
      <c r="R129" s="3"/>
      <c r="S129" s="3"/>
      <c r="T129" s="3"/>
      <c r="U129" s="3"/>
      <c r="V129" s="3"/>
      <c r="W129" s="3"/>
      <c r="X129" s="3"/>
      <c r="Y129" s="3"/>
      <c r="Z129" s="3"/>
      <c r="AA129" s="3"/>
      <c r="AB129" s="1" t="s">
        <v>1</v>
      </c>
    </row>
    <row r="130" spans="2:28">
      <c r="B130" s="22"/>
      <c r="D130" s="2" t="str">
        <f>IF($D$1="ORDER BOOK",GetActionStrOrder(X130, H130, T130),IF($D$1="POSITIONS",GetActionStrPosition(F130, S130),IF(E130="","","")))</f>
        <v/>
      </c>
      <c r="E130" s="3"/>
      <c r="F130" s="3"/>
      <c r="G130" s="3"/>
      <c r="H130" s="3"/>
      <c r="I130" s="3"/>
      <c r="J130" s="3"/>
      <c r="K130" s="3"/>
      <c r="L130" s="3"/>
      <c r="M130" s="3"/>
      <c r="N130" s="3"/>
      <c r="O130" s="3"/>
      <c r="P130" s="3"/>
      <c r="Q130" s="3"/>
      <c r="R130" s="3"/>
      <c r="S130" s="3"/>
      <c r="T130" s="3"/>
      <c r="U130" s="3"/>
      <c r="V130" s="3"/>
      <c r="W130" s="3"/>
      <c r="X130" s="3"/>
      <c r="Y130" s="3"/>
      <c r="Z130" s="3"/>
      <c r="AA130" s="3"/>
      <c r="AB130" s="1" t="s">
        <v>1</v>
      </c>
    </row>
    <row r="131" spans="2:28">
      <c r="B131" s="22"/>
      <c r="D131" s="2" t="str">
        <f>IF($D$1="ORDER BOOK",GetActionStrOrder(X131, H131, T131),IF($D$1="POSITIONS",GetActionStrPosition(F131, S131),IF(E131="","","")))</f>
        <v/>
      </c>
      <c r="E131" s="3"/>
      <c r="F131" s="3"/>
      <c r="G131" s="3"/>
      <c r="H131" s="3"/>
      <c r="I131" s="3"/>
      <c r="J131" s="3"/>
      <c r="K131" s="3"/>
      <c r="L131" s="3"/>
      <c r="M131" s="3"/>
      <c r="N131" s="3"/>
      <c r="O131" s="3"/>
      <c r="P131" s="3"/>
      <c r="Q131" s="3"/>
      <c r="R131" s="3"/>
      <c r="S131" s="3"/>
      <c r="T131" s="3"/>
      <c r="U131" s="3"/>
      <c r="V131" s="3"/>
      <c r="W131" s="3"/>
      <c r="X131" s="3"/>
      <c r="Y131" s="3"/>
      <c r="Z131" s="3"/>
      <c r="AA131" s="3"/>
      <c r="AB131" s="1" t="s">
        <v>1</v>
      </c>
    </row>
    <row r="132" spans="2:28">
      <c r="B132" s="22"/>
      <c r="D132" s="2" t="str">
        <f>IF($D$1="ORDER BOOK",GetActionStrOrder(X132, H132, T132),IF($D$1="POSITIONS",GetActionStrPosition(F132, S132),IF(E132="","","")))</f>
        <v/>
      </c>
      <c r="E132" s="3"/>
      <c r="F132" s="3"/>
      <c r="G132" s="3"/>
      <c r="H132" s="3"/>
      <c r="I132" s="3"/>
      <c r="J132" s="3"/>
      <c r="K132" s="3"/>
      <c r="L132" s="3"/>
      <c r="M132" s="3"/>
      <c r="N132" s="3"/>
      <c r="O132" s="3"/>
      <c r="P132" s="3"/>
      <c r="Q132" s="3"/>
      <c r="R132" s="3"/>
      <c r="S132" s="3"/>
      <c r="T132" s="3"/>
      <c r="U132" s="3"/>
      <c r="V132" s="3"/>
      <c r="W132" s="3"/>
      <c r="X132" s="3"/>
      <c r="Y132" s="3"/>
      <c r="Z132" s="3"/>
      <c r="AA132" s="3"/>
      <c r="AB132" s="1" t="s">
        <v>1</v>
      </c>
    </row>
    <row r="133" spans="2:28">
      <c r="B133" s="22"/>
      <c r="D133" s="2" t="str">
        <f>IF($D$1="ORDER BOOK",GetActionStrOrder(X133, H133, T133),IF($D$1="POSITIONS",GetActionStrPosition(F133, S133),IF(E133="","","")))</f>
        <v/>
      </c>
      <c r="E133" s="3"/>
      <c r="F133" s="3"/>
      <c r="G133" s="3"/>
      <c r="H133" s="3"/>
      <c r="I133" s="3"/>
      <c r="J133" s="3"/>
      <c r="K133" s="3"/>
      <c r="L133" s="3"/>
      <c r="M133" s="3"/>
      <c r="N133" s="3"/>
      <c r="O133" s="3"/>
      <c r="P133" s="3"/>
      <c r="Q133" s="3"/>
      <c r="R133" s="3"/>
      <c r="S133" s="3"/>
      <c r="T133" s="3"/>
      <c r="U133" s="3"/>
      <c r="V133" s="3"/>
      <c r="W133" s="3"/>
      <c r="X133" s="3"/>
      <c r="Y133" s="3"/>
      <c r="Z133" s="3"/>
      <c r="AA133" s="3"/>
      <c r="AB133" s="1" t="s">
        <v>1</v>
      </c>
    </row>
    <row r="134" spans="2:28">
      <c r="B134" s="22"/>
      <c r="D134" s="2" t="str">
        <f>IF($D$1="ORDER BOOK",GetActionStrOrder(X134, H134, T134),IF($D$1="POSITIONS",GetActionStrPosition(F134, S134),IF(E134="","","")))</f>
        <v/>
      </c>
      <c r="E134" s="3"/>
      <c r="F134" s="3"/>
      <c r="G134" s="3"/>
      <c r="H134" s="3"/>
      <c r="I134" s="3"/>
      <c r="J134" s="3"/>
      <c r="K134" s="3"/>
      <c r="L134" s="3"/>
      <c r="M134" s="3"/>
      <c r="N134" s="3"/>
      <c r="O134" s="3"/>
      <c r="P134" s="3"/>
      <c r="Q134" s="3"/>
      <c r="R134" s="3"/>
      <c r="S134" s="3"/>
      <c r="T134" s="3"/>
      <c r="U134" s="3"/>
      <c r="V134" s="3"/>
      <c r="W134" s="3"/>
      <c r="X134" s="3"/>
      <c r="Y134" s="3"/>
      <c r="Z134" s="3"/>
      <c r="AA134" s="3"/>
      <c r="AB134" s="1" t="s">
        <v>1</v>
      </c>
    </row>
    <row r="135" spans="2:28">
      <c r="B135" s="22"/>
      <c r="D135" s="2" t="str">
        <f>IF($D$1="ORDER BOOK",GetActionStrOrder(X135, H135, T135),IF($D$1="POSITIONS",GetActionStrPosition(F135, S135),IF(E135="","","")))</f>
        <v/>
      </c>
      <c r="E135" s="3"/>
      <c r="F135" s="3"/>
      <c r="G135" s="3"/>
      <c r="H135" s="3"/>
      <c r="I135" s="3"/>
      <c r="J135" s="3"/>
      <c r="K135" s="3"/>
      <c r="L135" s="3"/>
      <c r="M135" s="3"/>
      <c r="N135" s="3"/>
      <c r="O135" s="3"/>
      <c r="P135" s="3"/>
      <c r="Q135" s="3"/>
      <c r="R135" s="3"/>
      <c r="S135" s="3"/>
      <c r="T135" s="3"/>
      <c r="U135" s="3"/>
      <c r="V135" s="3"/>
      <c r="W135" s="3"/>
      <c r="X135" s="3"/>
      <c r="Y135" s="3"/>
      <c r="Z135" s="3"/>
      <c r="AA135" s="3"/>
      <c r="AB135" s="1" t="s">
        <v>1</v>
      </c>
    </row>
    <row r="136" spans="2:28">
      <c r="B136" s="22"/>
      <c r="D136" s="2" t="str">
        <f>IF($D$1="ORDER BOOK",GetActionStrOrder(X136, H136, T136),IF($D$1="POSITIONS",GetActionStrPosition(F136, S136),IF(E136="","","")))</f>
        <v/>
      </c>
      <c r="E136" s="3"/>
      <c r="F136" s="3"/>
      <c r="G136" s="3"/>
      <c r="H136" s="3"/>
      <c r="I136" s="3"/>
      <c r="J136" s="3"/>
      <c r="K136" s="3"/>
      <c r="L136" s="3"/>
      <c r="M136" s="3"/>
      <c r="N136" s="3"/>
      <c r="O136" s="3"/>
      <c r="P136" s="3"/>
      <c r="Q136" s="3"/>
      <c r="R136" s="3"/>
      <c r="S136" s="3"/>
      <c r="T136" s="3"/>
      <c r="U136" s="3"/>
      <c r="V136" s="3"/>
      <c r="W136" s="3"/>
      <c r="X136" s="3"/>
      <c r="Y136" s="3"/>
      <c r="Z136" s="3"/>
      <c r="AA136" s="3"/>
      <c r="AB136" s="1" t="s">
        <v>1</v>
      </c>
    </row>
    <row r="137" spans="2:28">
      <c r="B137" s="22"/>
      <c r="D137" s="2" t="str">
        <f>IF($D$1="ORDER BOOK",GetActionStrOrder(X137, H137, T137),IF($D$1="POSITIONS",GetActionStrPosition(F137, S137),IF(E137="","","")))</f>
        <v/>
      </c>
      <c r="E137" s="3"/>
      <c r="F137" s="3"/>
      <c r="G137" s="3"/>
      <c r="H137" s="3"/>
      <c r="I137" s="3"/>
      <c r="J137" s="3"/>
      <c r="K137" s="3"/>
      <c r="L137" s="3"/>
      <c r="M137" s="3"/>
      <c r="N137" s="3"/>
      <c r="O137" s="3"/>
      <c r="P137" s="3"/>
      <c r="Q137" s="3"/>
      <c r="R137" s="3"/>
      <c r="S137" s="3"/>
      <c r="T137" s="3"/>
      <c r="U137" s="3"/>
      <c r="V137" s="3"/>
      <c r="W137" s="3"/>
      <c r="X137" s="3"/>
      <c r="Y137" s="3"/>
      <c r="Z137" s="3"/>
      <c r="AA137" s="3"/>
      <c r="AB137" s="1" t="s">
        <v>1</v>
      </c>
    </row>
    <row r="138" spans="2:28">
      <c r="B138" s="22"/>
      <c r="D138" s="2" t="str">
        <f>IF($D$1="ORDER BOOK",GetActionStrOrder(X138, H138, T138),IF($D$1="POSITIONS",GetActionStrPosition(F138, S138),IF(E138="","","")))</f>
        <v/>
      </c>
      <c r="E138" s="3"/>
      <c r="F138" s="3"/>
      <c r="G138" s="3"/>
      <c r="H138" s="3"/>
      <c r="I138" s="3"/>
      <c r="J138" s="3"/>
      <c r="K138" s="3"/>
      <c r="L138" s="3"/>
      <c r="M138" s="3"/>
      <c r="N138" s="3"/>
      <c r="O138" s="3"/>
      <c r="P138" s="3"/>
      <c r="Q138" s="3"/>
      <c r="R138" s="3"/>
      <c r="S138" s="3"/>
      <c r="T138" s="3"/>
      <c r="U138" s="3"/>
      <c r="V138" s="3"/>
      <c r="W138" s="3"/>
      <c r="X138" s="3"/>
      <c r="Y138" s="3"/>
      <c r="Z138" s="3"/>
      <c r="AA138" s="3"/>
      <c r="AB138" s="1" t="s">
        <v>1</v>
      </c>
    </row>
    <row r="139" spans="2:28">
      <c r="B139" s="22"/>
      <c r="D139" s="2" t="str">
        <f>IF($D$1="ORDER BOOK",GetActionStrOrder(X139, H139, T139),IF($D$1="POSITIONS",GetActionStrPosition(F139, S139),IF(E139="","","")))</f>
        <v/>
      </c>
      <c r="E139" s="3"/>
      <c r="F139" s="3"/>
      <c r="G139" s="3"/>
      <c r="H139" s="3"/>
      <c r="I139" s="3"/>
      <c r="J139" s="3"/>
      <c r="K139" s="3"/>
      <c r="L139" s="3"/>
      <c r="M139" s="3"/>
      <c r="N139" s="3"/>
      <c r="O139" s="3"/>
      <c r="P139" s="3"/>
      <c r="Q139" s="3"/>
      <c r="R139" s="3"/>
      <c r="S139" s="3"/>
      <c r="T139" s="3"/>
      <c r="U139" s="3"/>
      <c r="V139" s="3"/>
      <c r="W139" s="3"/>
      <c r="X139" s="3"/>
      <c r="Y139" s="3"/>
      <c r="Z139" s="3"/>
      <c r="AA139" s="3"/>
      <c r="AB139" s="1" t="s">
        <v>1</v>
      </c>
    </row>
    <row r="140" spans="2:28">
      <c r="B140" s="22"/>
      <c r="D140" s="2" t="str">
        <f>IF($D$1="ORDER BOOK",GetActionStrOrder(X140, H140, T140),IF($D$1="POSITIONS",GetActionStrPosition(F140, S140),IF(E140="","","")))</f>
        <v/>
      </c>
      <c r="E140" s="3"/>
      <c r="F140" s="3"/>
      <c r="G140" s="3"/>
      <c r="H140" s="3"/>
      <c r="I140" s="3"/>
      <c r="J140" s="3"/>
      <c r="K140" s="3"/>
      <c r="L140" s="3"/>
      <c r="M140" s="3"/>
      <c r="N140" s="3"/>
      <c r="O140" s="3"/>
      <c r="P140" s="3"/>
      <c r="Q140" s="3"/>
      <c r="R140" s="3"/>
      <c r="S140" s="3"/>
      <c r="T140" s="3"/>
      <c r="U140" s="3"/>
      <c r="V140" s="3"/>
      <c r="W140" s="3"/>
      <c r="X140" s="3"/>
      <c r="Y140" s="3"/>
      <c r="Z140" s="3"/>
      <c r="AA140" s="3"/>
      <c r="AB140" s="1" t="s">
        <v>1</v>
      </c>
    </row>
    <row r="141" spans="2:28">
      <c r="B141" s="22"/>
      <c r="D141" s="2" t="str">
        <f>IF($D$1="ORDER BOOK",GetActionStrOrder(X141, H141, T141),IF($D$1="POSITIONS",GetActionStrPosition(F141, S141),IF(E141="","","")))</f>
        <v/>
      </c>
      <c r="E141" s="3"/>
      <c r="F141" s="3"/>
      <c r="G141" s="3"/>
      <c r="H141" s="3"/>
      <c r="I141" s="3"/>
      <c r="J141" s="3"/>
      <c r="K141" s="3"/>
      <c r="L141" s="3"/>
      <c r="M141" s="3"/>
      <c r="N141" s="3"/>
      <c r="O141" s="3"/>
      <c r="P141" s="3"/>
      <c r="Q141" s="3"/>
      <c r="R141" s="3"/>
      <c r="S141" s="3"/>
      <c r="T141" s="3"/>
      <c r="U141" s="3"/>
      <c r="V141" s="3"/>
      <c r="W141" s="3"/>
      <c r="X141" s="3"/>
      <c r="Y141" s="3"/>
      <c r="Z141" s="3"/>
      <c r="AA141" s="3"/>
      <c r="AB141" s="1" t="s">
        <v>1</v>
      </c>
    </row>
    <row r="142" spans="2:28">
      <c r="B142" s="22"/>
      <c r="D142" s="2" t="str">
        <f>IF($D$1="ORDER BOOK",GetActionStrOrder(X142, H142, T142),IF($D$1="POSITIONS",GetActionStrPosition(F142, S142),IF(E142="","","")))</f>
        <v/>
      </c>
      <c r="E142" s="3"/>
      <c r="F142" s="3"/>
      <c r="G142" s="3"/>
      <c r="H142" s="3"/>
      <c r="I142" s="3"/>
      <c r="J142" s="3"/>
      <c r="K142" s="3"/>
      <c r="L142" s="3"/>
      <c r="M142" s="3"/>
      <c r="N142" s="3"/>
      <c r="O142" s="3"/>
      <c r="P142" s="3"/>
      <c r="Q142" s="3"/>
      <c r="R142" s="3"/>
      <c r="S142" s="3"/>
      <c r="T142" s="3"/>
      <c r="U142" s="3"/>
      <c r="V142" s="3"/>
      <c r="W142" s="3"/>
      <c r="X142" s="3"/>
      <c r="Y142" s="3"/>
      <c r="Z142" s="3"/>
      <c r="AA142" s="3"/>
      <c r="AB142" s="1" t="s">
        <v>1</v>
      </c>
    </row>
    <row r="143" spans="2:28">
      <c r="B143" s="22"/>
      <c r="D143" s="2" t="str">
        <f>IF($D$1="ORDER BOOK",GetActionStrOrder(X143, H143, T143),IF($D$1="POSITIONS",GetActionStrPosition(F143, S143),IF(E143="","","")))</f>
        <v/>
      </c>
      <c r="E143" s="3"/>
      <c r="F143" s="3"/>
      <c r="G143" s="3"/>
      <c r="H143" s="3"/>
      <c r="I143" s="3"/>
      <c r="J143" s="3"/>
      <c r="K143" s="3"/>
      <c r="L143" s="3"/>
      <c r="M143" s="3"/>
      <c r="N143" s="3"/>
      <c r="O143" s="3"/>
      <c r="P143" s="3"/>
      <c r="Q143" s="3"/>
      <c r="R143" s="3"/>
      <c r="S143" s="3"/>
      <c r="T143" s="3"/>
      <c r="U143" s="3"/>
      <c r="V143" s="3"/>
      <c r="W143" s="3"/>
      <c r="X143" s="3"/>
      <c r="Y143" s="3"/>
      <c r="Z143" s="3"/>
      <c r="AA143" s="3"/>
      <c r="AB143" s="1" t="s">
        <v>1</v>
      </c>
    </row>
    <row r="144" spans="2:28">
      <c r="B144" s="22"/>
      <c r="D144" s="2" t="str">
        <f>IF($D$1="ORDER BOOK",GetActionStrOrder(X144, H144, T144),IF($D$1="POSITIONS",GetActionStrPosition(F144, S144),IF(E144="","","")))</f>
        <v/>
      </c>
      <c r="E144" s="3"/>
      <c r="F144" s="3"/>
      <c r="G144" s="3"/>
      <c r="H144" s="3"/>
      <c r="I144" s="3"/>
      <c r="J144" s="3"/>
      <c r="K144" s="3"/>
      <c r="L144" s="3"/>
      <c r="M144" s="3"/>
      <c r="N144" s="3"/>
      <c r="O144" s="3"/>
      <c r="P144" s="3"/>
      <c r="Q144" s="3"/>
      <c r="R144" s="3"/>
      <c r="S144" s="3"/>
      <c r="T144" s="3"/>
      <c r="U144" s="3"/>
      <c r="V144" s="3"/>
      <c r="W144" s="3"/>
      <c r="X144" s="3"/>
      <c r="Y144" s="3"/>
      <c r="Z144" s="3"/>
      <c r="AA144" s="3"/>
      <c r="AB144" s="1" t="s">
        <v>1</v>
      </c>
    </row>
    <row r="145" spans="2:28">
      <c r="B145" s="22"/>
      <c r="D145" s="2" t="str">
        <f>IF($D$1="ORDER BOOK",GetActionStrOrder(X145, H145, T145),IF($D$1="POSITIONS",GetActionStrPosition(F145, S145),IF(E145="","","")))</f>
        <v/>
      </c>
      <c r="E145" s="3"/>
      <c r="F145" s="3"/>
      <c r="G145" s="3"/>
      <c r="H145" s="3"/>
      <c r="I145" s="3"/>
      <c r="J145" s="3"/>
      <c r="K145" s="3"/>
      <c r="L145" s="3"/>
      <c r="M145" s="3"/>
      <c r="N145" s="3"/>
      <c r="O145" s="3"/>
      <c r="P145" s="3"/>
      <c r="Q145" s="3"/>
      <c r="R145" s="3"/>
      <c r="S145" s="3"/>
      <c r="T145" s="3"/>
      <c r="U145" s="3"/>
      <c r="V145" s="3"/>
      <c r="W145" s="3"/>
      <c r="X145" s="3"/>
      <c r="Y145" s="3"/>
      <c r="Z145" s="3"/>
      <c r="AA145" s="3"/>
      <c r="AB145" s="1" t="s">
        <v>1</v>
      </c>
    </row>
    <row r="146" spans="2:28">
      <c r="B146" s="22"/>
      <c r="D146" s="2" t="str">
        <f>IF($D$1="ORDER BOOK",GetActionStrOrder(X146, H146, T146),IF($D$1="POSITIONS",GetActionStrPosition(F146, S146),IF(E146="","","")))</f>
        <v/>
      </c>
      <c r="E146" s="3"/>
      <c r="F146" s="3"/>
      <c r="G146" s="3"/>
      <c r="H146" s="3"/>
      <c r="I146" s="3"/>
      <c r="J146" s="3"/>
      <c r="K146" s="3"/>
      <c r="L146" s="3"/>
      <c r="M146" s="3"/>
      <c r="N146" s="3"/>
      <c r="O146" s="3"/>
      <c r="P146" s="3"/>
      <c r="Q146" s="3"/>
      <c r="R146" s="3"/>
      <c r="S146" s="3"/>
      <c r="T146" s="3"/>
      <c r="U146" s="3"/>
      <c r="V146" s="3"/>
      <c r="W146" s="3"/>
      <c r="X146" s="3"/>
      <c r="Y146" s="3"/>
      <c r="Z146" s="3"/>
      <c r="AA146" s="3"/>
      <c r="AB146" s="1" t="s">
        <v>1</v>
      </c>
    </row>
    <row r="147" spans="2:28">
      <c r="B147" s="22"/>
      <c r="D147" s="2" t="str">
        <f>IF($D$1="ORDER BOOK",GetActionStrOrder(X147, H147, T147),IF($D$1="POSITIONS",GetActionStrPosition(F147, S147),IF(E147="","","")))</f>
        <v/>
      </c>
      <c r="E147" s="3"/>
      <c r="F147" s="3"/>
      <c r="G147" s="3"/>
      <c r="H147" s="3"/>
      <c r="I147" s="3"/>
      <c r="J147" s="3"/>
      <c r="K147" s="3"/>
      <c r="L147" s="3"/>
      <c r="M147" s="3"/>
      <c r="N147" s="3"/>
      <c r="O147" s="3"/>
      <c r="P147" s="3"/>
      <c r="Q147" s="3"/>
      <c r="R147" s="3"/>
      <c r="S147" s="3"/>
      <c r="T147" s="3"/>
      <c r="U147" s="3"/>
      <c r="V147" s="3"/>
      <c r="W147" s="3"/>
      <c r="X147" s="3"/>
      <c r="Y147" s="3"/>
      <c r="Z147" s="3"/>
      <c r="AA147" s="3"/>
      <c r="AB147" s="1" t="s">
        <v>1</v>
      </c>
    </row>
    <row r="148" spans="2:28">
      <c r="B148" s="22"/>
      <c r="D148" s="2" t="str">
        <f>IF($D$1="ORDER BOOK",GetActionStrOrder(X148, H148, T148),IF($D$1="POSITIONS",GetActionStrPosition(F148, S148),IF(E148="","","")))</f>
        <v/>
      </c>
      <c r="E148" s="3"/>
      <c r="F148" s="3"/>
      <c r="G148" s="3"/>
      <c r="H148" s="3"/>
      <c r="I148" s="3"/>
      <c r="J148" s="3"/>
      <c r="K148" s="3"/>
      <c r="L148" s="3"/>
      <c r="M148" s="3"/>
      <c r="N148" s="3"/>
      <c r="O148" s="3"/>
      <c r="P148" s="3"/>
      <c r="Q148" s="3"/>
      <c r="R148" s="3"/>
      <c r="S148" s="3"/>
      <c r="T148" s="3"/>
      <c r="U148" s="3"/>
      <c r="V148" s="3"/>
      <c r="W148" s="3"/>
      <c r="X148" s="3"/>
      <c r="Y148" s="3"/>
      <c r="Z148" s="3"/>
      <c r="AA148" s="3"/>
      <c r="AB148" s="1" t="s">
        <v>1</v>
      </c>
    </row>
    <row r="149" spans="2:28">
      <c r="B149" s="22"/>
      <c r="D149" s="2" t="str">
        <f>IF($D$1="ORDER BOOK",GetActionStrOrder(X149, H149, T149),IF($D$1="POSITIONS",GetActionStrPosition(F149, S149),IF(E149="","","")))</f>
        <v/>
      </c>
      <c r="E149" s="3"/>
      <c r="F149" s="3"/>
      <c r="G149" s="3"/>
      <c r="H149" s="3"/>
      <c r="I149" s="3"/>
      <c r="J149" s="3"/>
      <c r="K149" s="3"/>
      <c r="L149" s="3"/>
      <c r="M149" s="3"/>
      <c r="N149" s="3"/>
      <c r="O149" s="3"/>
      <c r="P149" s="3"/>
      <c r="Q149" s="3"/>
      <c r="R149" s="3"/>
      <c r="S149" s="3"/>
      <c r="T149" s="3"/>
      <c r="U149" s="3"/>
      <c r="V149" s="3"/>
      <c r="W149" s="3"/>
      <c r="X149" s="3"/>
      <c r="Y149" s="3"/>
      <c r="Z149" s="3"/>
      <c r="AA149" s="3"/>
      <c r="AB149" s="1" t="s">
        <v>1</v>
      </c>
    </row>
    <row r="150" spans="2:28">
      <c r="B150" s="22"/>
      <c r="D150" s="2" t="str">
        <f>IF($D$1="ORDER BOOK",GetActionStrOrder(X150, H150, T150),IF($D$1="POSITIONS",GetActionStrPosition(F150, S150),IF(E150="","","")))</f>
        <v/>
      </c>
      <c r="E150" s="3"/>
      <c r="F150" s="3"/>
      <c r="G150" s="3"/>
      <c r="H150" s="3"/>
      <c r="I150" s="3"/>
      <c r="J150" s="3"/>
      <c r="K150" s="3"/>
      <c r="L150" s="3"/>
      <c r="M150" s="3"/>
      <c r="N150" s="3"/>
      <c r="O150" s="3"/>
      <c r="P150" s="3"/>
      <c r="Q150" s="3"/>
      <c r="R150" s="3"/>
      <c r="S150" s="3"/>
      <c r="T150" s="3"/>
      <c r="U150" s="3"/>
      <c r="V150" s="3"/>
      <c r="W150" s="3"/>
      <c r="X150" s="3"/>
      <c r="Y150" s="3"/>
      <c r="Z150" s="3"/>
      <c r="AA150" s="3"/>
      <c r="AB150" s="1" t="s">
        <v>1</v>
      </c>
    </row>
    <row r="151" spans="2:28">
      <c r="B151" s="22"/>
      <c r="D151" s="2" t="str">
        <f>IF($D$1="ORDER BOOK",GetActionStrOrder(X151, H151, T151),IF($D$1="POSITIONS",GetActionStrPosition(F151, S151),IF(E151="","","")))</f>
        <v/>
      </c>
      <c r="E151" s="3"/>
      <c r="F151" s="3"/>
      <c r="G151" s="3"/>
      <c r="H151" s="3"/>
      <c r="I151" s="3"/>
      <c r="J151" s="3"/>
      <c r="K151" s="3"/>
      <c r="L151" s="3"/>
      <c r="M151" s="3"/>
      <c r="N151" s="3"/>
      <c r="O151" s="3"/>
      <c r="P151" s="3"/>
      <c r="Q151" s="3"/>
      <c r="R151" s="3"/>
      <c r="S151" s="3"/>
      <c r="T151" s="3"/>
      <c r="U151" s="3"/>
      <c r="V151" s="3"/>
      <c r="W151" s="3"/>
      <c r="X151" s="3"/>
      <c r="Y151" s="3"/>
      <c r="Z151" s="3"/>
      <c r="AA151" s="3"/>
      <c r="AB151" s="1" t="s">
        <v>1</v>
      </c>
    </row>
    <row r="152" spans="2:28">
      <c r="B152" s="22"/>
      <c r="D152" s="2" t="str">
        <f>IF($D$1="ORDER BOOK",GetActionStrOrder(X152, H152, T152),IF($D$1="POSITIONS",GetActionStrPosition(F152, S152),IF(E152="","","")))</f>
        <v/>
      </c>
      <c r="E152" s="3"/>
      <c r="F152" s="3"/>
      <c r="G152" s="3"/>
      <c r="H152" s="3"/>
      <c r="I152" s="3"/>
      <c r="J152" s="3"/>
      <c r="K152" s="3"/>
      <c r="L152" s="3"/>
      <c r="M152" s="3"/>
      <c r="N152" s="3"/>
      <c r="O152" s="3"/>
      <c r="P152" s="3"/>
      <c r="Q152" s="3"/>
      <c r="R152" s="3"/>
      <c r="S152" s="3"/>
      <c r="T152" s="3"/>
      <c r="U152" s="3"/>
      <c r="V152" s="3"/>
      <c r="W152" s="3"/>
      <c r="X152" s="3"/>
      <c r="Y152" s="3"/>
      <c r="Z152" s="3"/>
      <c r="AA152" s="3"/>
      <c r="AB152" s="1" t="s">
        <v>1</v>
      </c>
    </row>
    <row r="153" spans="2:28">
      <c r="B153" s="22"/>
      <c r="D153" s="2" t="str">
        <f>IF($D$1="ORDER BOOK",GetActionStrOrder(X153, H153, T153),IF($D$1="POSITIONS",GetActionStrPosition(F153, S153),IF(E153="","","")))</f>
        <v/>
      </c>
      <c r="E153" s="3"/>
      <c r="F153" s="3"/>
      <c r="G153" s="3"/>
      <c r="H153" s="3"/>
      <c r="I153" s="3"/>
      <c r="J153" s="3"/>
      <c r="K153" s="3"/>
      <c r="L153" s="3"/>
      <c r="M153" s="3"/>
      <c r="N153" s="3"/>
      <c r="O153" s="3"/>
      <c r="P153" s="3"/>
      <c r="Q153" s="3"/>
      <c r="R153" s="3"/>
      <c r="S153" s="3"/>
      <c r="T153" s="3"/>
      <c r="U153" s="3"/>
      <c r="V153" s="3"/>
      <c r="W153" s="3"/>
      <c r="X153" s="3"/>
      <c r="Y153" s="3"/>
      <c r="Z153" s="3"/>
      <c r="AA153" s="3"/>
      <c r="AB153" s="1" t="s">
        <v>1</v>
      </c>
    </row>
    <row r="154" spans="2:28">
      <c r="B154" s="22"/>
      <c r="D154" s="2" t="str">
        <f>IF($D$1="ORDER BOOK",GetActionStrOrder(X154, H154, T154),IF($D$1="POSITIONS",GetActionStrPosition(F154, S154),IF(E154="","","")))</f>
        <v/>
      </c>
      <c r="E154" s="3"/>
      <c r="F154" s="3"/>
      <c r="G154" s="3"/>
      <c r="H154" s="3"/>
      <c r="I154" s="3"/>
      <c r="J154" s="3"/>
      <c r="K154" s="3"/>
      <c r="L154" s="3"/>
      <c r="M154" s="3"/>
      <c r="N154" s="3"/>
      <c r="O154" s="3"/>
      <c r="P154" s="3"/>
      <c r="Q154" s="3"/>
      <c r="R154" s="3"/>
      <c r="S154" s="3"/>
      <c r="T154" s="3"/>
      <c r="U154" s="3"/>
      <c r="V154" s="3"/>
      <c r="W154" s="3"/>
      <c r="X154" s="3"/>
      <c r="Y154" s="3"/>
      <c r="Z154" s="3"/>
      <c r="AA154" s="3"/>
      <c r="AB154" s="1" t="s">
        <v>1</v>
      </c>
    </row>
    <row r="155" spans="2:28">
      <c r="B155" s="22"/>
      <c r="D155" s="2" t="str">
        <f>IF($D$1="ORDER BOOK",GetActionStrOrder(X155, H155, T155),IF($D$1="POSITIONS",GetActionStrPosition(F155, S155),IF(E155="","","")))</f>
        <v/>
      </c>
      <c r="E155" s="3"/>
      <c r="F155" s="3"/>
      <c r="G155" s="3"/>
      <c r="H155" s="3"/>
      <c r="I155" s="3"/>
      <c r="J155" s="3"/>
      <c r="K155" s="3"/>
      <c r="L155" s="3"/>
      <c r="M155" s="3"/>
      <c r="N155" s="3"/>
      <c r="O155" s="3"/>
      <c r="P155" s="3"/>
      <c r="Q155" s="3"/>
      <c r="R155" s="3"/>
      <c r="S155" s="3"/>
      <c r="T155" s="3"/>
      <c r="U155" s="3"/>
      <c r="V155" s="3"/>
      <c r="W155" s="3"/>
      <c r="X155" s="3"/>
      <c r="Y155" s="3"/>
      <c r="Z155" s="3"/>
      <c r="AA155" s="3"/>
      <c r="AB155" s="1" t="s">
        <v>1</v>
      </c>
    </row>
    <row r="156" spans="2:28">
      <c r="B156" s="22"/>
      <c r="D156" s="2" t="str">
        <f>IF($D$1="ORDER BOOK",GetActionStrOrder(X156, H156, T156),IF($D$1="POSITIONS",GetActionStrPosition(F156, S156),IF(E156="","","")))</f>
        <v/>
      </c>
      <c r="E156" s="3"/>
      <c r="F156" s="3"/>
      <c r="G156" s="3"/>
      <c r="H156" s="3"/>
      <c r="I156" s="3"/>
      <c r="J156" s="3"/>
      <c r="K156" s="3"/>
      <c r="L156" s="3"/>
      <c r="M156" s="3"/>
      <c r="N156" s="3"/>
      <c r="O156" s="3"/>
      <c r="P156" s="3"/>
      <c r="Q156" s="3"/>
      <c r="R156" s="3"/>
      <c r="S156" s="3"/>
      <c r="T156" s="3"/>
      <c r="U156" s="3"/>
      <c r="V156" s="3"/>
      <c r="W156" s="3"/>
      <c r="X156" s="3"/>
      <c r="Y156" s="3"/>
      <c r="Z156" s="3"/>
      <c r="AA156" s="3"/>
      <c r="AB156" s="1" t="s">
        <v>1</v>
      </c>
    </row>
    <row r="157" spans="2:28">
      <c r="B157" s="22"/>
      <c r="D157" s="2" t="str">
        <f>IF($D$1="ORDER BOOK",GetActionStrOrder(X157, H157, T157),IF($D$1="POSITIONS",GetActionStrPosition(F157, S157),IF(E157="","","")))</f>
        <v/>
      </c>
      <c r="E157" s="3"/>
      <c r="F157" s="3"/>
      <c r="G157" s="3"/>
      <c r="H157" s="3"/>
      <c r="I157" s="3"/>
      <c r="J157" s="3"/>
      <c r="K157" s="3"/>
      <c r="L157" s="3"/>
      <c r="M157" s="3"/>
      <c r="N157" s="3"/>
      <c r="O157" s="3"/>
      <c r="P157" s="3"/>
      <c r="Q157" s="3"/>
      <c r="R157" s="3"/>
      <c r="S157" s="3"/>
      <c r="T157" s="3"/>
      <c r="U157" s="3"/>
      <c r="V157" s="3"/>
      <c r="W157" s="3"/>
      <c r="X157" s="3"/>
      <c r="Y157" s="3"/>
      <c r="Z157" s="3"/>
      <c r="AA157" s="3"/>
      <c r="AB157" s="1" t="s">
        <v>1</v>
      </c>
    </row>
    <row r="158" spans="2:28">
      <c r="B158" s="22"/>
      <c r="D158" s="2" t="str">
        <f>IF($D$1="ORDER BOOK",GetActionStrOrder(X158, H158, T158),IF($D$1="POSITIONS",GetActionStrPosition(F158, S158),IF(E158="","","")))</f>
        <v/>
      </c>
      <c r="E158" s="3"/>
      <c r="F158" s="3"/>
      <c r="G158" s="3"/>
      <c r="H158" s="3"/>
      <c r="I158" s="3"/>
      <c r="J158" s="3"/>
      <c r="K158" s="3"/>
      <c r="L158" s="3"/>
      <c r="M158" s="3"/>
      <c r="N158" s="3"/>
      <c r="O158" s="3"/>
      <c r="P158" s="3"/>
      <c r="Q158" s="3"/>
      <c r="R158" s="3"/>
      <c r="S158" s="3"/>
      <c r="T158" s="3"/>
      <c r="U158" s="3"/>
      <c r="V158" s="3"/>
      <c r="W158" s="3"/>
      <c r="X158" s="3"/>
      <c r="Y158" s="3"/>
      <c r="Z158" s="3"/>
      <c r="AA158" s="3"/>
      <c r="AB158" s="1" t="s">
        <v>1</v>
      </c>
    </row>
    <row r="159" spans="2:28">
      <c r="B159" s="22"/>
      <c r="D159" s="2" t="str">
        <f>IF($D$1="ORDER BOOK",GetActionStrOrder(X159, H159, T159),IF($D$1="POSITIONS",GetActionStrPosition(F159, S159),IF(E159="","","")))</f>
        <v/>
      </c>
      <c r="E159" s="3"/>
      <c r="F159" s="3"/>
      <c r="G159" s="3"/>
      <c r="H159" s="3"/>
      <c r="I159" s="3"/>
      <c r="J159" s="3"/>
      <c r="K159" s="3"/>
      <c r="L159" s="3"/>
      <c r="M159" s="3"/>
      <c r="N159" s="3"/>
      <c r="O159" s="3"/>
      <c r="P159" s="3"/>
      <c r="Q159" s="3"/>
      <c r="R159" s="3"/>
      <c r="S159" s="3"/>
      <c r="T159" s="3"/>
      <c r="U159" s="3"/>
      <c r="V159" s="3"/>
      <c r="W159" s="3"/>
      <c r="X159" s="3"/>
      <c r="Y159" s="3"/>
      <c r="Z159" s="3"/>
      <c r="AA159" s="3"/>
      <c r="AB159" s="1" t="s">
        <v>1</v>
      </c>
    </row>
    <row r="160" spans="2:28">
      <c r="B160" s="22"/>
      <c r="D160" s="2" t="str">
        <f>IF($D$1="ORDER BOOK",GetActionStrOrder(X160, H160, T160),IF($D$1="POSITIONS",GetActionStrPosition(F160, S160),IF(E160="","","")))</f>
        <v/>
      </c>
      <c r="E160" s="3"/>
      <c r="F160" s="3"/>
      <c r="G160" s="3"/>
      <c r="H160" s="3"/>
      <c r="I160" s="3"/>
      <c r="J160" s="3"/>
      <c r="K160" s="3"/>
      <c r="L160" s="3"/>
      <c r="M160" s="3"/>
      <c r="N160" s="3"/>
      <c r="O160" s="3"/>
      <c r="P160" s="3"/>
      <c r="Q160" s="3"/>
      <c r="R160" s="3"/>
      <c r="S160" s="3"/>
      <c r="T160" s="3"/>
      <c r="U160" s="3"/>
      <c r="V160" s="3"/>
      <c r="W160" s="3"/>
      <c r="X160" s="3"/>
      <c r="Y160" s="3"/>
      <c r="Z160" s="3"/>
      <c r="AA160" s="3"/>
      <c r="AB160" s="1" t="s">
        <v>1</v>
      </c>
    </row>
    <row r="161" spans="2:28">
      <c r="B161" s="22"/>
      <c r="D161" s="2" t="str">
        <f>IF($D$1="ORDER BOOK",GetActionStrOrder(X161, H161, T161),IF($D$1="POSITIONS",GetActionStrPosition(F161, S161),IF(E161="","","")))</f>
        <v/>
      </c>
      <c r="E161" s="3"/>
      <c r="F161" s="3"/>
      <c r="G161" s="3"/>
      <c r="H161" s="3"/>
      <c r="I161" s="3"/>
      <c r="J161" s="3"/>
      <c r="K161" s="3"/>
      <c r="L161" s="3"/>
      <c r="M161" s="3"/>
      <c r="N161" s="3"/>
      <c r="O161" s="3"/>
      <c r="P161" s="3"/>
      <c r="Q161" s="3"/>
      <c r="R161" s="3"/>
      <c r="S161" s="3"/>
      <c r="T161" s="3"/>
      <c r="U161" s="3"/>
      <c r="V161" s="3"/>
      <c r="W161" s="3"/>
      <c r="X161" s="3"/>
      <c r="Y161" s="3"/>
      <c r="Z161" s="3"/>
      <c r="AA161" s="3"/>
      <c r="AB161" s="1" t="s">
        <v>1</v>
      </c>
    </row>
    <row r="162" spans="2:28">
      <c r="B162" s="22"/>
      <c r="D162" s="2" t="str">
        <f>IF($D$1="ORDER BOOK",GetActionStrOrder(X162, H162, T162),IF($D$1="POSITIONS",GetActionStrPosition(F162, S162),IF(E162="","","")))</f>
        <v/>
      </c>
      <c r="E162" s="3"/>
      <c r="F162" s="3"/>
      <c r="G162" s="3"/>
      <c r="H162" s="3"/>
      <c r="I162" s="3"/>
      <c r="J162" s="3"/>
      <c r="K162" s="3"/>
      <c r="L162" s="3"/>
      <c r="M162" s="3"/>
      <c r="N162" s="3"/>
      <c r="O162" s="3"/>
      <c r="P162" s="3"/>
      <c r="Q162" s="3"/>
      <c r="R162" s="3"/>
      <c r="S162" s="3"/>
      <c r="T162" s="3"/>
      <c r="U162" s="3"/>
      <c r="V162" s="3"/>
      <c r="W162" s="3"/>
      <c r="X162" s="3"/>
      <c r="Y162" s="3"/>
      <c r="Z162" s="3"/>
      <c r="AA162" s="3"/>
      <c r="AB162" s="1" t="s">
        <v>1</v>
      </c>
    </row>
    <row r="163" spans="2:28">
      <c r="B163" s="22"/>
      <c r="D163" s="2" t="str">
        <f>IF($D$1="ORDER BOOK",GetActionStrOrder(X163, H163, T163),IF($D$1="POSITIONS",GetActionStrPosition(F163, S163),IF(E163="","","")))</f>
        <v/>
      </c>
      <c r="E163" s="3"/>
      <c r="F163" s="3"/>
      <c r="G163" s="3"/>
      <c r="H163" s="3"/>
      <c r="I163" s="3"/>
      <c r="J163" s="3"/>
      <c r="K163" s="3"/>
      <c r="L163" s="3"/>
      <c r="M163" s="3"/>
      <c r="N163" s="3"/>
      <c r="O163" s="3"/>
      <c r="P163" s="3"/>
      <c r="Q163" s="3"/>
      <c r="R163" s="3"/>
      <c r="S163" s="3"/>
      <c r="T163" s="3"/>
      <c r="U163" s="3"/>
      <c r="V163" s="3"/>
      <c r="W163" s="3"/>
      <c r="X163" s="3"/>
      <c r="Y163" s="3"/>
      <c r="Z163" s="3"/>
      <c r="AA163" s="3"/>
      <c r="AB163" s="1" t="s">
        <v>1</v>
      </c>
    </row>
    <row r="164" spans="2:28">
      <c r="B164" s="22"/>
      <c r="D164" s="2" t="str">
        <f>IF($D$1="ORDER BOOK",GetActionStrOrder(X164, H164, T164),IF($D$1="POSITIONS",GetActionStrPosition(F164, S164),IF(E164="","","")))</f>
        <v/>
      </c>
      <c r="E164" s="3"/>
      <c r="F164" s="3"/>
      <c r="G164" s="3"/>
      <c r="H164" s="3"/>
      <c r="I164" s="3"/>
      <c r="J164" s="3"/>
      <c r="K164" s="3"/>
      <c r="L164" s="3"/>
      <c r="M164" s="3"/>
      <c r="N164" s="3"/>
      <c r="O164" s="3"/>
      <c r="P164" s="3"/>
      <c r="Q164" s="3"/>
      <c r="R164" s="3"/>
      <c r="S164" s="3"/>
      <c r="T164" s="3"/>
      <c r="U164" s="3"/>
      <c r="V164" s="3"/>
      <c r="W164" s="3"/>
      <c r="X164" s="3"/>
      <c r="Y164" s="3"/>
      <c r="Z164" s="3"/>
      <c r="AA164" s="3"/>
      <c r="AB164" s="1" t="s">
        <v>1</v>
      </c>
    </row>
    <row r="165" spans="2:28">
      <c r="B165" s="22"/>
      <c r="D165" s="2" t="str">
        <f>IF($D$1="ORDER BOOK",GetActionStrOrder(X165, H165, T165),IF($D$1="POSITIONS",GetActionStrPosition(F165, S165),IF(E165="","","")))</f>
        <v/>
      </c>
      <c r="E165" s="3"/>
      <c r="F165" s="3"/>
      <c r="G165" s="3"/>
      <c r="H165" s="3"/>
      <c r="I165" s="3"/>
      <c r="J165" s="3"/>
      <c r="K165" s="3"/>
      <c r="L165" s="3"/>
      <c r="M165" s="3"/>
      <c r="N165" s="3"/>
      <c r="O165" s="3"/>
      <c r="P165" s="3"/>
      <c r="Q165" s="3"/>
      <c r="R165" s="3"/>
      <c r="S165" s="3"/>
      <c r="T165" s="3"/>
      <c r="U165" s="3"/>
      <c r="V165" s="3"/>
      <c r="W165" s="3"/>
      <c r="X165" s="3"/>
      <c r="Y165" s="3"/>
      <c r="Z165" s="3"/>
      <c r="AA165" s="3"/>
      <c r="AB165" s="1" t="s">
        <v>1</v>
      </c>
    </row>
    <row r="166" spans="2:28">
      <c r="B166" s="22"/>
      <c r="D166" s="2" t="str">
        <f>IF($D$1="ORDER BOOK",GetActionStrOrder(X166, H166, T166),IF($D$1="POSITIONS",GetActionStrPosition(F166, S166),IF(E166="","","")))</f>
        <v/>
      </c>
      <c r="E166" s="3"/>
      <c r="F166" s="3"/>
      <c r="G166" s="3"/>
      <c r="H166" s="3"/>
      <c r="I166" s="3"/>
      <c r="J166" s="3"/>
      <c r="K166" s="3"/>
      <c r="L166" s="3"/>
      <c r="M166" s="3"/>
      <c r="N166" s="3"/>
      <c r="O166" s="3"/>
      <c r="P166" s="3"/>
      <c r="Q166" s="3"/>
      <c r="R166" s="3"/>
      <c r="S166" s="3"/>
      <c r="T166" s="3"/>
      <c r="U166" s="3"/>
      <c r="V166" s="3"/>
      <c r="W166" s="3"/>
      <c r="X166" s="3"/>
      <c r="Y166" s="3"/>
      <c r="Z166" s="3"/>
      <c r="AA166" s="3"/>
      <c r="AB166" s="1" t="s">
        <v>1</v>
      </c>
    </row>
    <row r="167" spans="2:28">
      <c r="B167" s="22"/>
      <c r="D167" s="2" t="str">
        <f>IF($D$1="ORDER BOOK",GetActionStrOrder(X167, H167, T167),IF($D$1="POSITIONS",GetActionStrPosition(F167, S167),IF(E167="","","")))</f>
        <v/>
      </c>
      <c r="E167" s="3"/>
      <c r="F167" s="3"/>
      <c r="G167" s="3"/>
      <c r="H167" s="3"/>
      <c r="I167" s="3"/>
      <c r="J167" s="3"/>
      <c r="K167" s="3"/>
      <c r="L167" s="3"/>
      <c r="M167" s="3"/>
      <c r="N167" s="3"/>
      <c r="O167" s="3"/>
      <c r="P167" s="3"/>
      <c r="Q167" s="3"/>
      <c r="R167" s="3"/>
      <c r="S167" s="3"/>
      <c r="T167" s="3"/>
      <c r="U167" s="3"/>
      <c r="V167" s="3"/>
      <c r="W167" s="3"/>
      <c r="X167" s="3"/>
      <c r="Y167" s="3"/>
      <c r="Z167" s="3"/>
      <c r="AA167" s="3"/>
      <c r="AB167" s="1" t="s">
        <v>1</v>
      </c>
    </row>
    <row r="168" spans="2:28">
      <c r="B168" s="22"/>
      <c r="D168" s="2" t="str">
        <f>IF($D$1="ORDER BOOK",GetActionStrOrder(X168, H168, T168),IF($D$1="POSITIONS",GetActionStrPosition(F168, S168),IF(E168="","","")))</f>
        <v/>
      </c>
      <c r="E168" s="3"/>
      <c r="F168" s="3"/>
      <c r="G168" s="3"/>
      <c r="H168" s="3"/>
      <c r="I168" s="3"/>
      <c r="J168" s="3"/>
      <c r="K168" s="3"/>
      <c r="L168" s="3"/>
      <c r="M168" s="3"/>
      <c r="N168" s="3"/>
      <c r="O168" s="3"/>
      <c r="P168" s="3"/>
      <c r="Q168" s="3"/>
      <c r="R168" s="3"/>
      <c r="S168" s="3"/>
      <c r="T168" s="3"/>
      <c r="U168" s="3"/>
      <c r="V168" s="3"/>
      <c r="W168" s="3"/>
      <c r="X168" s="3"/>
      <c r="Y168" s="3"/>
      <c r="Z168" s="3"/>
      <c r="AA168" s="3"/>
      <c r="AB168" s="1" t="s">
        <v>1</v>
      </c>
    </row>
    <row r="169" spans="2:28">
      <c r="B169" s="22"/>
      <c r="D169" s="2" t="str">
        <f>IF($D$1="ORDER BOOK",GetActionStrOrder(X169, H169, T169),IF($D$1="POSITIONS",GetActionStrPosition(F169, S169),IF(E169="","","")))</f>
        <v/>
      </c>
      <c r="E169" s="3"/>
      <c r="F169" s="3"/>
      <c r="G169" s="3"/>
      <c r="H169" s="3"/>
      <c r="I169" s="3"/>
      <c r="J169" s="3"/>
      <c r="K169" s="3"/>
      <c r="L169" s="3"/>
      <c r="M169" s="3"/>
      <c r="N169" s="3"/>
      <c r="O169" s="3"/>
      <c r="P169" s="3"/>
      <c r="Q169" s="3"/>
      <c r="R169" s="3"/>
      <c r="S169" s="3"/>
      <c r="T169" s="3"/>
      <c r="U169" s="3"/>
      <c r="V169" s="3"/>
      <c r="W169" s="3"/>
      <c r="X169" s="3"/>
      <c r="Y169" s="3"/>
      <c r="Z169" s="3"/>
      <c r="AA169" s="3"/>
      <c r="AB169" s="1" t="s">
        <v>1</v>
      </c>
    </row>
    <row r="170" spans="2:28">
      <c r="B170" s="22"/>
      <c r="D170" s="2" t="str">
        <f>IF($D$1="ORDER BOOK",GetActionStrOrder(X170, H170, T170),IF($D$1="POSITIONS",GetActionStrPosition(F170, S170),IF(E170="","","")))</f>
        <v/>
      </c>
      <c r="E170" s="3"/>
      <c r="F170" s="3"/>
      <c r="G170" s="3"/>
      <c r="H170" s="3"/>
      <c r="I170" s="3"/>
      <c r="J170" s="3"/>
      <c r="K170" s="3"/>
      <c r="L170" s="3"/>
      <c r="M170" s="3"/>
      <c r="N170" s="3"/>
      <c r="O170" s="3"/>
      <c r="P170" s="3"/>
      <c r="Q170" s="3"/>
      <c r="R170" s="3"/>
      <c r="S170" s="3"/>
      <c r="T170" s="3"/>
      <c r="U170" s="3"/>
      <c r="V170" s="3"/>
      <c r="W170" s="3"/>
      <c r="X170" s="3"/>
      <c r="Y170" s="3"/>
      <c r="Z170" s="3"/>
      <c r="AA170" s="3"/>
      <c r="AB170" s="1" t="s">
        <v>1</v>
      </c>
    </row>
    <row r="171" spans="2:28">
      <c r="B171" s="22"/>
      <c r="D171" s="2" t="str">
        <f>IF($D$1="ORDER BOOK",GetActionStrOrder(X171, H171, T171),IF($D$1="POSITIONS",GetActionStrPosition(F171, S171),IF(E171="","","")))</f>
        <v/>
      </c>
      <c r="E171" s="3"/>
      <c r="F171" s="3"/>
      <c r="G171" s="3"/>
      <c r="H171" s="3"/>
      <c r="I171" s="3"/>
      <c r="J171" s="3"/>
      <c r="K171" s="3"/>
      <c r="L171" s="3"/>
      <c r="M171" s="3"/>
      <c r="N171" s="3"/>
      <c r="O171" s="3"/>
      <c r="P171" s="3"/>
      <c r="Q171" s="3"/>
      <c r="R171" s="3"/>
      <c r="S171" s="3"/>
      <c r="T171" s="3"/>
      <c r="U171" s="3"/>
      <c r="V171" s="3"/>
      <c r="W171" s="3"/>
      <c r="X171" s="3"/>
      <c r="Y171" s="3"/>
      <c r="Z171" s="3"/>
      <c r="AA171" s="3"/>
      <c r="AB171" s="1" t="s">
        <v>1</v>
      </c>
    </row>
    <row r="172" spans="2:28">
      <c r="B172" s="22"/>
      <c r="D172" s="2" t="str">
        <f>IF($D$1="ORDER BOOK",GetActionStrOrder(X172, H172, T172),IF($D$1="POSITIONS",GetActionStrPosition(F172, S172),IF(E172="","","")))</f>
        <v/>
      </c>
      <c r="E172" s="3"/>
      <c r="F172" s="3"/>
      <c r="G172" s="3"/>
      <c r="H172" s="3"/>
      <c r="I172" s="3"/>
      <c r="J172" s="3"/>
      <c r="K172" s="3"/>
      <c r="L172" s="3"/>
      <c r="M172" s="3"/>
      <c r="N172" s="3"/>
      <c r="O172" s="3"/>
      <c r="P172" s="3"/>
      <c r="Q172" s="3"/>
      <c r="R172" s="3"/>
      <c r="S172" s="3"/>
      <c r="T172" s="3"/>
      <c r="U172" s="3"/>
      <c r="V172" s="3"/>
      <c r="W172" s="3"/>
      <c r="X172" s="3"/>
      <c r="Y172" s="3"/>
      <c r="Z172" s="3"/>
      <c r="AA172" s="3"/>
      <c r="AB172" s="1" t="s">
        <v>1</v>
      </c>
    </row>
    <row r="173" spans="2:28">
      <c r="B173" s="22"/>
      <c r="D173" s="2" t="str">
        <f>IF($D$1="ORDER BOOK",GetActionStrOrder(X173, H173, T173),IF($D$1="POSITIONS",GetActionStrPosition(F173, S173),IF(E173="","","")))</f>
        <v/>
      </c>
      <c r="E173" s="3"/>
      <c r="F173" s="3"/>
      <c r="G173" s="3"/>
      <c r="H173" s="3"/>
      <c r="I173" s="3"/>
      <c r="J173" s="3"/>
      <c r="K173" s="3"/>
      <c r="L173" s="3"/>
      <c r="M173" s="3"/>
      <c r="N173" s="3"/>
      <c r="O173" s="3"/>
      <c r="P173" s="3"/>
      <c r="Q173" s="3"/>
      <c r="R173" s="3"/>
      <c r="S173" s="3"/>
      <c r="T173" s="3"/>
      <c r="U173" s="3"/>
      <c r="V173" s="3"/>
      <c r="W173" s="3"/>
      <c r="X173" s="3"/>
      <c r="Y173" s="3"/>
      <c r="Z173" s="3"/>
      <c r="AA173" s="3"/>
      <c r="AB173" s="1" t="s">
        <v>1</v>
      </c>
    </row>
    <row r="174" spans="2:28">
      <c r="B174" s="22"/>
      <c r="D174" s="2" t="str">
        <f>IF($D$1="ORDER BOOK",GetActionStrOrder(X174, H174, T174),IF($D$1="POSITIONS",GetActionStrPosition(F174, S174),IF(E174="","","")))</f>
        <v/>
      </c>
      <c r="E174" s="3"/>
      <c r="F174" s="3"/>
      <c r="G174" s="3"/>
      <c r="H174" s="3"/>
      <c r="I174" s="3"/>
      <c r="J174" s="3"/>
      <c r="K174" s="3"/>
      <c r="L174" s="3"/>
      <c r="M174" s="3"/>
      <c r="N174" s="3"/>
      <c r="O174" s="3"/>
      <c r="P174" s="3"/>
      <c r="Q174" s="3"/>
      <c r="R174" s="3"/>
      <c r="S174" s="3"/>
      <c r="T174" s="3"/>
      <c r="U174" s="3"/>
      <c r="V174" s="3"/>
      <c r="W174" s="3"/>
      <c r="X174" s="3"/>
      <c r="Y174" s="3"/>
      <c r="Z174" s="3"/>
      <c r="AA174" s="3"/>
      <c r="AB174" s="1" t="s">
        <v>1</v>
      </c>
    </row>
    <row r="175" spans="2:28">
      <c r="B175" s="22"/>
      <c r="D175" s="2" t="str">
        <f>IF($D$1="ORDER BOOK",GetActionStrOrder(X175, H175, T175),IF($D$1="POSITIONS",GetActionStrPosition(F175, S175),IF(E175="","","")))</f>
        <v/>
      </c>
      <c r="E175" s="3"/>
      <c r="F175" s="3"/>
      <c r="G175" s="3"/>
      <c r="H175" s="3"/>
      <c r="I175" s="3"/>
      <c r="J175" s="3"/>
      <c r="K175" s="3"/>
      <c r="L175" s="3"/>
      <c r="M175" s="3"/>
      <c r="N175" s="3"/>
      <c r="O175" s="3"/>
      <c r="P175" s="3"/>
      <c r="Q175" s="3"/>
      <c r="R175" s="3"/>
      <c r="S175" s="3"/>
      <c r="T175" s="3"/>
      <c r="U175" s="3"/>
      <c r="V175" s="3"/>
      <c r="W175" s="3"/>
      <c r="X175" s="3"/>
      <c r="Y175" s="3"/>
      <c r="Z175" s="3"/>
      <c r="AA175" s="3"/>
      <c r="AB175" s="1" t="s">
        <v>1</v>
      </c>
    </row>
    <row r="176" spans="2:28">
      <c r="B176" s="22"/>
      <c r="D176" s="2" t="str">
        <f>IF($D$1="ORDER BOOK",GetActionStrOrder(X176, H176, T176),IF($D$1="POSITIONS",GetActionStrPosition(F176, S176),IF(E176="","","")))</f>
        <v/>
      </c>
      <c r="E176" s="3"/>
      <c r="F176" s="3"/>
      <c r="G176" s="3"/>
      <c r="H176" s="3"/>
      <c r="I176" s="3"/>
      <c r="J176" s="3"/>
      <c r="K176" s="3"/>
      <c r="L176" s="3"/>
      <c r="M176" s="3"/>
      <c r="N176" s="3"/>
      <c r="O176" s="3"/>
      <c r="P176" s="3"/>
      <c r="Q176" s="3"/>
      <c r="R176" s="3"/>
      <c r="S176" s="3"/>
      <c r="T176" s="3"/>
      <c r="U176" s="3"/>
      <c r="V176" s="3"/>
      <c r="W176" s="3"/>
      <c r="X176" s="3"/>
      <c r="Y176" s="3"/>
      <c r="Z176" s="3"/>
      <c r="AA176" s="3"/>
      <c r="AB176" s="1" t="s">
        <v>1</v>
      </c>
    </row>
    <row r="177" spans="2:28">
      <c r="B177" s="22"/>
      <c r="D177" s="2" t="str">
        <f>IF($D$1="ORDER BOOK",GetActionStrOrder(X177, H177, T177),IF($D$1="POSITIONS",GetActionStrPosition(F177, S177),IF(E177="","","")))</f>
        <v/>
      </c>
      <c r="E177" s="3"/>
      <c r="F177" s="3"/>
      <c r="G177" s="3"/>
      <c r="H177" s="3"/>
      <c r="I177" s="3"/>
      <c r="J177" s="3"/>
      <c r="K177" s="3"/>
      <c r="L177" s="3"/>
      <c r="M177" s="3"/>
      <c r="N177" s="3"/>
      <c r="O177" s="3"/>
      <c r="P177" s="3"/>
      <c r="Q177" s="3"/>
      <c r="R177" s="3"/>
      <c r="S177" s="3"/>
      <c r="T177" s="3"/>
      <c r="U177" s="3"/>
      <c r="V177" s="3"/>
      <c r="W177" s="3"/>
      <c r="X177" s="3"/>
      <c r="Y177" s="3"/>
      <c r="Z177" s="3"/>
      <c r="AA177" s="3"/>
      <c r="AB177" s="1" t="s">
        <v>1</v>
      </c>
    </row>
    <row r="178" spans="2:28">
      <c r="B178" s="22"/>
      <c r="D178" s="2" t="str">
        <f>IF($D$1="ORDER BOOK",GetActionStrOrder(X178, H178, T178),IF($D$1="POSITIONS",GetActionStrPosition(F178, S178),IF(E178="","","")))</f>
        <v/>
      </c>
      <c r="E178" s="3"/>
      <c r="F178" s="3"/>
      <c r="G178" s="3"/>
      <c r="H178" s="3"/>
      <c r="I178" s="3"/>
      <c r="J178" s="3"/>
      <c r="K178" s="3"/>
      <c r="L178" s="3"/>
      <c r="M178" s="3"/>
      <c r="N178" s="3"/>
      <c r="O178" s="3"/>
      <c r="P178" s="3"/>
      <c r="Q178" s="3"/>
      <c r="R178" s="3"/>
      <c r="S178" s="3"/>
      <c r="T178" s="3"/>
      <c r="U178" s="3"/>
      <c r="V178" s="3"/>
      <c r="W178" s="3"/>
      <c r="X178" s="3"/>
      <c r="Y178" s="3"/>
      <c r="Z178" s="3"/>
      <c r="AA178" s="3"/>
      <c r="AB178" s="1" t="s">
        <v>1</v>
      </c>
    </row>
    <row r="179" spans="2:28">
      <c r="B179" s="22"/>
      <c r="D179" s="2" t="str">
        <f>IF($D$1="ORDER BOOK",GetActionStrOrder(X179, H179, T179),IF($D$1="POSITIONS",GetActionStrPosition(F179, S179),IF(E179="","","")))</f>
        <v/>
      </c>
      <c r="E179" s="3"/>
      <c r="F179" s="3"/>
      <c r="G179" s="3"/>
      <c r="H179" s="3"/>
      <c r="I179" s="3"/>
      <c r="J179" s="3"/>
      <c r="K179" s="3"/>
      <c r="L179" s="3"/>
      <c r="M179" s="3"/>
      <c r="N179" s="3"/>
      <c r="O179" s="3"/>
      <c r="P179" s="3"/>
      <c r="Q179" s="3"/>
      <c r="R179" s="3"/>
      <c r="S179" s="3"/>
      <c r="T179" s="3"/>
      <c r="U179" s="3"/>
      <c r="V179" s="3"/>
      <c r="W179" s="3"/>
      <c r="X179" s="3"/>
      <c r="Y179" s="3"/>
      <c r="Z179" s="3"/>
      <c r="AA179" s="3"/>
      <c r="AB179" s="1" t="s">
        <v>1</v>
      </c>
    </row>
    <row r="180" spans="2:28">
      <c r="B180" s="22"/>
      <c r="D180" s="2" t="str">
        <f>IF($D$1="ORDER BOOK",GetActionStrOrder(X180, H180, T180),IF($D$1="POSITIONS",GetActionStrPosition(F180, S180),IF(E180="","","")))</f>
        <v/>
      </c>
      <c r="E180" s="3"/>
      <c r="F180" s="3"/>
      <c r="G180" s="3"/>
      <c r="H180" s="3"/>
      <c r="I180" s="3"/>
      <c r="J180" s="3"/>
      <c r="K180" s="3"/>
      <c r="L180" s="3"/>
      <c r="M180" s="3"/>
      <c r="N180" s="3"/>
      <c r="O180" s="3"/>
      <c r="P180" s="3"/>
      <c r="Q180" s="3"/>
      <c r="R180" s="3"/>
      <c r="S180" s="3"/>
      <c r="T180" s="3"/>
      <c r="U180" s="3"/>
      <c r="V180" s="3"/>
      <c r="W180" s="3"/>
      <c r="X180" s="3"/>
      <c r="Y180" s="3"/>
      <c r="Z180" s="3"/>
      <c r="AA180" s="3"/>
      <c r="AB180" s="1" t="s">
        <v>1</v>
      </c>
    </row>
    <row r="181" spans="2:28">
      <c r="B181" s="22"/>
      <c r="D181" s="2" t="str">
        <f>IF($D$1="ORDER BOOK",GetActionStrOrder(X181, H181, T181),IF($D$1="POSITIONS",GetActionStrPosition(F181, S181),IF(E181="","","")))</f>
        <v/>
      </c>
      <c r="E181" s="3"/>
      <c r="F181" s="3"/>
      <c r="G181" s="3"/>
      <c r="H181" s="3"/>
      <c r="I181" s="3"/>
      <c r="J181" s="3"/>
      <c r="K181" s="3"/>
      <c r="L181" s="3"/>
      <c r="M181" s="3"/>
      <c r="N181" s="3"/>
      <c r="O181" s="3"/>
      <c r="P181" s="3"/>
      <c r="Q181" s="3"/>
      <c r="R181" s="3"/>
      <c r="S181" s="3"/>
      <c r="T181" s="3"/>
      <c r="U181" s="3"/>
      <c r="V181" s="3"/>
      <c r="W181" s="3"/>
      <c r="X181" s="3"/>
      <c r="Y181" s="3"/>
      <c r="Z181" s="3"/>
      <c r="AA181" s="3"/>
      <c r="AB181" s="1" t="s">
        <v>1</v>
      </c>
    </row>
    <row r="182" spans="2:28">
      <c r="B182" s="22"/>
      <c r="D182" s="2" t="str">
        <f>IF($D$1="ORDER BOOK",GetActionStrOrder(X182, H182, T182),IF($D$1="POSITIONS",GetActionStrPosition(F182, S182),IF(E182="","","")))</f>
        <v/>
      </c>
      <c r="E182" s="3"/>
      <c r="F182" s="3"/>
      <c r="G182" s="3"/>
      <c r="H182" s="3"/>
      <c r="I182" s="3"/>
      <c r="J182" s="3"/>
      <c r="K182" s="3"/>
      <c r="L182" s="3"/>
      <c r="M182" s="3"/>
      <c r="N182" s="3"/>
      <c r="O182" s="3"/>
      <c r="P182" s="3"/>
      <c r="Q182" s="3"/>
      <c r="R182" s="3"/>
      <c r="S182" s="3"/>
      <c r="T182" s="3"/>
      <c r="U182" s="3"/>
      <c r="V182" s="3"/>
      <c r="W182" s="3"/>
      <c r="X182" s="3"/>
      <c r="Y182" s="3"/>
      <c r="Z182" s="3"/>
      <c r="AA182" s="3"/>
      <c r="AB182" s="1" t="s">
        <v>1</v>
      </c>
    </row>
    <row r="183" spans="2:28">
      <c r="B183" s="22"/>
      <c r="D183" s="2" t="str">
        <f>IF($D$1="ORDER BOOK",GetActionStrOrder(X183, H183, T183),IF($D$1="POSITIONS",GetActionStrPosition(F183, S183),IF(E183="","","")))</f>
        <v/>
      </c>
      <c r="E183" s="3"/>
      <c r="F183" s="3"/>
      <c r="G183" s="3"/>
      <c r="H183" s="3"/>
      <c r="I183" s="3"/>
      <c r="J183" s="3"/>
      <c r="K183" s="3"/>
      <c r="L183" s="3"/>
      <c r="M183" s="3"/>
      <c r="N183" s="3"/>
      <c r="O183" s="3"/>
      <c r="P183" s="3"/>
      <c r="Q183" s="3"/>
      <c r="R183" s="3"/>
      <c r="S183" s="3"/>
      <c r="T183" s="3"/>
      <c r="U183" s="3"/>
      <c r="V183" s="3"/>
      <c r="W183" s="3"/>
      <c r="X183" s="3"/>
      <c r="Y183" s="3"/>
      <c r="Z183" s="3"/>
      <c r="AA183" s="3"/>
      <c r="AB183" s="1" t="s">
        <v>1</v>
      </c>
    </row>
    <row r="184" spans="2:28">
      <c r="B184" s="22"/>
      <c r="D184" s="2" t="str">
        <f>IF($D$1="ORDER BOOK",GetActionStrOrder(X184, H184, T184),IF($D$1="POSITIONS",GetActionStrPosition(F184, S184),IF(E184="","","")))</f>
        <v/>
      </c>
      <c r="E184" s="3"/>
      <c r="F184" s="3"/>
      <c r="G184" s="3"/>
      <c r="H184" s="3"/>
      <c r="I184" s="3"/>
      <c r="J184" s="3"/>
      <c r="K184" s="3"/>
      <c r="L184" s="3"/>
      <c r="M184" s="3"/>
      <c r="N184" s="3"/>
      <c r="O184" s="3"/>
      <c r="P184" s="3"/>
      <c r="Q184" s="3"/>
      <c r="R184" s="3"/>
      <c r="S184" s="3"/>
      <c r="T184" s="3"/>
      <c r="U184" s="3"/>
      <c r="V184" s="3"/>
      <c r="W184" s="3"/>
      <c r="X184" s="3"/>
      <c r="Y184" s="3"/>
      <c r="Z184" s="3"/>
      <c r="AA184" s="3"/>
      <c r="AB184" s="1" t="s">
        <v>1</v>
      </c>
    </row>
    <row r="185" spans="2:28">
      <c r="B185" s="22"/>
      <c r="D185" s="2" t="str">
        <f>IF($D$1="ORDER BOOK",GetActionStrOrder(X185, H185, T185),IF($D$1="POSITIONS",GetActionStrPosition(F185, S185),IF(E185="","","")))</f>
        <v/>
      </c>
      <c r="E185" s="3"/>
      <c r="F185" s="3"/>
      <c r="G185" s="3"/>
      <c r="H185" s="3"/>
      <c r="I185" s="3"/>
      <c r="J185" s="3"/>
      <c r="K185" s="3"/>
      <c r="L185" s="3"/>
      <c r="M185" s="3"/>
      <c r="N185" s="3"/>
      <c r="O185" s="3"/>
      <c r="P185" s="3"/>
      <c r="Q185" s="3"/>
      <c r="R185" s="3"/>
      <c r="S185" s="3"/>
      <c r="T185" s="3"/>
      <c r="U185" s="3"/>
      <c r="V185" s="3"/>
      <c r="W185" s="3"/>
      <c r="X185" s="3"/>
      <c r="Y185" s="3"/>
      <c r="Z185" s="3"/>
      <c r="AA185" s="3"/>
      <c r="AB185" s="1" t="s">
        <v>1</v>
      </c>
    </row>
    <row r="186" spans="2:28">
      <c r="B186" s="22"/>
      <c r="D186" s="2" t="str">
        <f>IF($D$1="ORDER BOOK",GetActionStrOrder(X186, H186, T186),IF($D$1="POSITIONS",GetActionStrPosition(F186, S186),IF(E186="","","")))</f>
        <v/>
      </c>
      <c r="E186" s="3"/>
      <c r="F186" s="3"/>
      <c r="G186" s="3"/>
      <c r="H186" s="3"/>
      <c r="I186" s="3"/>
      <c r="J186" s="3"/>
      <c r="K186" s="3"/>
      <c r="L186" s="3"/>
      <c r="M186" s="3"/>
      <c r="N186" s="3"/>
      <c r="O186" s="3"/>
      <c r="P186" s="3"/>
      <c r="Q186" s="3"/>
      <c r="R186" s="3"/>
      <c r="S186" s="3"/>
      <c r="T186" s="3"/>
      <c r="U186" s="3"/>
      <c r="V186" s="3"/>
      <c r="W186" s="3"/>
      <c r="X186" s="3"/>
      <c r="Y186" s="3"/>
      <c r="Z186" s="3"/>
      <c r="AA186" s="3"/>
      <c r="AB186" s="1" t="s">
        <v>1</v>
      </c>
    </row>
    <row r="187" spans="2:28">
      <c r="B187" s="22"/>
      <c r="D187" s="2" t="str">
        <f>IF($D$1="ORDER BOOK",GetActionStrOrder(X187, H187, T187),IF($D$1="POSITIONS",GetActionStrPosition(F187, S187),IF(E187="","","")))</f>
        <v/>
      </c>
      <c r="E187" s="3"/>
      <c r="F187" s="3"/>
      <c r="G187" s="3"/>
      <c r="H187" s="3"/>
      <c r="I187" s="3"/>
      <c r="J187" s="3"/>
      <c r="K187" s="3"/>
      <c r="L187" s="3"/>
      <c r="M187" s="3"/>
      <c r="N187" s="3"/>
      <c r="O187" s="3"/>
      <c r="P187" s="3"/>
      <c r="Q187" s="3"/>
      <c r="R187" s="3"/>
      <c r="S187" s="3"/>
      <c r="T187" s="3"/>
      <c r="U187" s="3"/>
      <c r="V187" s="3"/>
      <c r="W187" s="3"/>
      <c r="X187" s="3"/>
      <c r="Y187" s="3"/>
      <c r="Z187" s="3"/>
      <c r="AA187" s="3"/>
      <c r="AB187" s="1" t="s">
        <v>1</v>
      </c>
    </row>
    <row r="188" spans="2:28">
      <c r="B188" s="22"/>
      <c r="D188" s="2" t="str">
        <f>IF($D$1="ORDER BOOK",GetActionStrOrder(X188, H188, T188),IF($D$1="POSITIONS",GetActionStrPosition(F188, S188),IF(E188="","","")))</f>
        <v/>
      </c>
      <c r="E188" s="3"/>
      <c r="F188" s="3"/>
      <c r="G188" s="3"/>
      <c r="H188" s="3"/>
      <c r="I188" s="3"/>
      <c r="J188" s="3"/>
      <c r="K188" s="3"/>
      <c r="L188" s="3"/>
      <c r="M188" s="3"/>
      <c r="N188" s="3"/>
      <c r="O188" s="3"/>
      <c r="P188" s="3"/>
      <c r="Q188" s="3"/>
      <c r="R188" s="3"/>
      <c r="S188" s="3"/>
      <c r="T188" s="3"/>
      <c r="U188" s="3"/>
      <c r="V188" s="3"/>
      <c r="W188" s="3"/>
      <c r="X188" s="3"/>
      <c r="Y188" s="3"/>
      <c r="Z188" s="3"/>
      <c r="AA188" s="3"/>
      <c r="AB188" s="1" t="s">
        <v>1</v>
      </c>
    </row>
    <row r="189" spans="2:28">
      <c r="B189" s="22"/>
      <c r="D189" s="2" t="str">
        <f>IF($D$1="ORDER BOOK",GetActionStrOrder(X189, H189, T189),IF($D$1="POSITIONS",GetActionStrPosition(F189, S189),IF(E189="","","")))</f>
        <v/>
      </c>
      <c r="E189" s="3"/>
      <c r="F189" s="3"/>
      <c r="G189" s="3"/>
      <c r="H189" s="3"/>
      <c r="I189" s="3"/>
      <c r="J189" s="3"/>
      <c r="K189" s="3"/>
      <c r="L189" s="3"/>
      <c r="M189" s="3"/>
      <c r="N189" s="3"/>
      <c r="O189" s="3"/>
      <c r="P189" s="3"/>
      <c r="Q189" s="3"/>
      <c r="R189" s="3"/>
      <c r="S189" s="3"/>
      <c r="T189" s="3"/>
      <c r="U189" s="3"/>
      <c r="V189" s="3"/>
      <c r="W189" s="3"/>
      <c r="X189" s="3"/>
      <c r="Y189" s="3"/>
      <c r="Z189" s="3"/>
      <c r="AA189" s="3"/>
      <c r="AB189" s="1" t="s">
        <v>1</v>
      </c>
    </row>
    <row r="190" spans="2:28">
      <c r="B190" s="22"/>
      <c r="D190" s="2" t="str">
        <f>IF($D$1="ORDER BOOK",GetActionStrOrder(X190, H190, T190),IF($D$1="POSITIONS",GetActionStrPosition(F190, S190),IF(E190="","","")))</f>
        <v/>
      </c>
      <c r="E190" s="3"/>
      <c r="F190" s="3"/>
      <c r="G190" s="3"/>
      <c r="H190" s="3"/>
      <c r="I190" s="3"/>
      <c r="J190" s="3"/>
      <c r="K190" s="3"/>
      <c r="L190" s="3"/>
      <c r="M190" s="3"/>
      <c r="N190" s="3"/>
      <c r="O190" s="3"/>
      <c r="P190" s="3"/>
      <c r="Q190" s="3"/>
      <c r="R190" s="3"/>
      <c r="S190" s="3"/>
      <c r="T190" s="3"/>
      <c r="U190" s="3"/>
      <c r="V190" s="3"/>
      <c r="W190" s="3"/>
      <c r="X190" s="3"/>
      <c r="Y190" s="3"/>
      <c r="Z190" s="3"/>
      <c r="AA190" s="3"/>
      <c r="AB190" s="1" t="s">
        <v>1</v>
      </c>
    </row>
    <row r="191" spans="2:28">
      <c r="B191" s="22"/>
      <c r="D191" s="2" t="str">
        <f>IF($D$1="ORDER BOOK",GetActionStrOrder(X191, H191, T191),IF($D$1="POSITIONS",GetActionStrPosition(F191, S191),IF(E191="","","")))</f>
        <v/>
      </c>
      <c r="E191" s="3"/>
      <c r="F191" s="3"/>
      <c r="G191" s="3"/>
      <c r="H191" s="3"/>
      <c r="I191" s="3"/>
      <c r="J191" s="3"/>
      <c r="K191" s="3"/>
      <c r="L191" s="3"/>
      <c r="M191" s="3"/>
      <c r="N191" s="3"/>
      <c r="O191" s="3"/>
      <c r="P191" s="3"/>
      <c r="Q191" s="3"/>
      <c r="R191" s="3"/>
      <c r="S191" s="3"/>
      <c r="T191" s="3"/>
      <c r="U191" s="3"/>
      <c r="V191" s="3"/>
      <c r="W191" s="3"/>
      <c r="X191" s="3"/>
      <c r="Y191" s="3"/>
      <c r="Z191" s="3"/>
      <c r="AA191" s="3"/>
      <c r="AB191" s="1" t="s">
        <v>1</v>
      </c>
    </row>
    <row r="192" spans="2:28">
      <c r="B192" s="22"/>
      <c r="D192" s="2" t="str">
        <f>IF($D$1="ORDER BOOK",GetActionStrOrder(X192, H192, T192),IF($D$1="POSITIONS",GetActionStrPosition(F192, S192),IF(E192="","","")))</f>
        <v/>
      </c>
      <c r="E192" s="3"/>
      <c r="F192" s="3"/>
      <c r="G192" s="3"/>
      <c r="H192" s="3"/>
      <c r="I192" s="3"/>
      <c r="J192" s="3"/>
      <c r="K192" s="3"/>
      <c r="L192" s="3"/>
      <c r="M192" s="3"/>
      <c r="N192" s="3"/>
      <c r="O192" s="3"/>
      <c r="P192" s="3"/>
      <c r="Q192" s="3"/>
      <c r="R192" s="3"/>
      <c r="S192" s="3"/>
      <c r="T192" s="3"/>
      <c r="U192" s="3"/>
      <c r="V192" s="3"/>
      <c r="W192" s="3"/>
      <c r="X192" s="3"/>
      <c r="Y192" s="3"/>
      <c r="Z192" s="3"/>
      <c r="AA192" s="3"/>
      <c r="AB192" s="1" t="s">
        <v>1</v>
      </c>
    </row>
    <row r="193" spans="2:28">
      <c r="B193" s="22"/>
      <c r="D193" s="2" t="str">
        <f>IF($D$1="ORDER BOOK",GetActionStrOrder(X193, H193, T193),IF($D$1="POSITIONS",GetActionStrPosition(F193, S193),IF(E193="","","")))</f>
        <v/>
      </c>
      <c r="E193" s="3"/>
      <c r="F193" s="3"/>
      <c r="G193" s="3"/>
      <c r="H193" s="3"/>
      <c r="I193" s="3"/>
      <c r="J193" s="3"/>
      <c r="K193" s="3"/>
      <c r="L193" s="3"/>
      <c r="M193" s="3"/>
      <c r="N193" s="3"/>
      <c r="O193" s="3"/>
      <c r="P193" s="3"/>
      <c r="Q193" s="3"/>
      <c r="R193" s="3"/>
      <c r="S193" s="3"/>
      <c r="T193" s="3"/>
      <c r="U193" s="3"/>
      <c r="V193" s="3"/>
      <c r="W193" s="3"/>
      <c r="X193" s="3"/>
      <c r="Y193" s="3"/>
      <c r="Z193" s="3"/>
      <c r="AA193" s="3"/>
      <c r="AB193" s="1" t="s">
        <v>1</v>
      </c>
    </row>
    <row r="194" spans="2:28">
      <c r="B194" s="22"/>
      <c r="D194" s="2" t="str">
        <f>IF($D$1="ORDER BOOK",GetActionStrOrder(X194, H194, T194),IF($D$1="POSITIONS",GetActionStrPosition(F194, S194),IF(E194="","","")))</f>
        <v/>
      </c>
      <c r="E194" s="3"/>
      <c r="F194" s="3"/>
      <c r="G194" s="3"/>
      <c r="H194" s="3"/>
      <c r="I194" s="3"/>
      <c r="J194" s="3"/>
      <c r="K194" s="3"/>
      <c r="L194" s="3"/>
      <c r="M194" s="3"/>
      <c r="N194" s="3"/>
      <c r="O194" s="3"/>
      <c r="P194" s="3"/>
      <c r="Q194" s="3"/>
      <c r="R194" s="3"/>
      <c r="S194" s="3"/>
      <c r="T194" s="3"/>
      <c r="U194" s="3"/>
      <c r="V194" s="3"/>
      <c r="W194" s="3"/>
      <c r="X194" s="3"/>
      <c r="Y194" s="3"/>
      <c r="Z194" s="3"/>
      <c r="AA194" s="3"/>
      <c r="AB194" s="1" t="s">
        <v>1</v>
      </c>
    </row>
    <row r="195" spans="2:28">
      <c r="B195" s="22"/>
      <c r="D195" s="2" t="str">
        <f>IF($D$1="ORDER BOOK",GetActionStrOrder(X195, H195, T195),IF($D$1="POSITIONS",GetActionStrPosition(F195, S195),IF(E195="","","")))</f>
        <v/>
      </c>
      <c r="E195" s="3"/>
      <c r="F195" s="3"/>
      <c r="G195" s="3"/>
      <c r="H195" s="3"/>
      <c r="I195" s="3"/>
      <c r="J195" s="3"/>
      <c r="K195" s="3"/>
      <c r="L195" s="3"/>
      <c r="M195" s="3"/>
      <c r="N195" s="3"/>
      <c r="O195" s="3"/>
      <c r="P195" s="3"/>
      <c r="Q195" s="3"/>
      <c r="R195" s="3"/>
      <c r="S195" s="3"/>
      <c r="T195" s="3"/>
      <c r="U195" s="3"/>
      <c r="V195" s="3"/>
      <c r="W195" s="3"/>
      <c r="X195" s="3"/>
      <c r="Y195" s="3"/>
      <c r="Z195" s="3"/>
      <c r="AA195" s="3"/>
      <c r="AB195" s="1" t="s">
        <v>1</v>
      </c>
    </row>
    <row r="196" spans="2:28">
      <c r="B196" s="22"/>
      <c r="D196" s="2" t="str">
        <f>IF($D$1="ORDER BOOK",GetActionStrOrder(X196, H196, T196),IF($D$1="POSITIONS",GetActionStrPosition(F196, S196),IF(E196="","","")))</f>
        <v/>
      </c>
      <c r="E196" s="3"/>
      <c r="F196" s="3"/>
      <c r="G196" s="3"/>
      <c r="H196" s="3"/>
      <c r="I196" s="3"/>
      <c r="J196" s="3"/>
      <c r="K196" s="3"/>
      <c r="L196" s="3"/>
      <c r="M196" s="3"/>
      <c r="N196" s="3"/>
      <c r="O196" s="3"/>
      <c r="P196" s="3"/>
      <c r="Q196" s="3"/>
      <c r="R196" s="3"/>
      <c r="S196" s="3"/>
      <c r="T196" s="3"/>
      <c r="U196" s="3"/>
      <c r="V196" s="3"/>
      <c r="W196" s="3"/>
      <c r="X196" s="3"/>
      <c r="Y196" s="3"/>
      <c r="Z196" s="3"/>
      <c r="AA196" s="3"/>
      <c r="AB196" s="1" t="s">
        <v>1</v>
      </c>
    </row>
    <row r="197" spans="2:28">
      <c r="B197" s="22"/>
      <c r="D197" s="2" t="str">
        <f>IF($D$1="ORDER BOOK",GetActionStrOrder(X197, H197, T197),IF($D$1="POSITIONS",GetActionStrPosition(F197, S197),IF(E197="","","")))</f>
        <v/>
      </c>
      <c r="E197" s="3"/>
      <c r="F197" s="3"/>
      <c r="G197" s="3"/>
      <c r="H197" s="3"/>
      <c r="I197" s="3"/>
      <c r="J197" s="3"/>
      <c r="K197" s="3"/>
      <c r="L197" s="3"/>
      <c r="M197" s="3"/>
      <c r="N197" s="3"/>
      <c r="O197" s="3"/>
      <c r="P197" s="3"/>
      <c r="Q197" s="3"/>
      <c r="R197" s="3"/>
      <c r="S197" s="3"/>
      <c r="T197" s="3"/>
      <c r="U197" s="3"/>
      <c r="V197" s="3"/>
      <c r="W197" s="3"/>
      <c r="X197" s="3"/>
      <c r="Y197" s="3"/>
      <c r="Z197" s="3"/>
      <c r="AA197" s="3"/>
      <c r="AB197" s="1" t="s">
        <v>1</v>
      </c>
    </row>
    <row r="198" spans="2:28">
      <c r="B198" s="22"/>
      <c r="D198" s="2" t="str">
        <f>IF($D$1="ORDER BOOK",GetActionStrOrder(X198, H198, T198),IF($D$1="POSITIONS",GetActionStrPosition(F198, S198),IF(E198="","","")))</f>
        <v/>
      </c>
      <c r="E198" s="3"/>
      <c r="F198" s="3"/>
      <c r="G198" s="3"/>
      <c r="H198" s="3"/>
      <c r="I198" s="3"/>
      <c r="J198" s="3"/>
      <c r="K198" s="3"/>
      <c r="L198" s="3"/>
      <c r="M198" s="3"/>
      <c r="N198" s="3"/>
      <c r="O198" s="3"/>
      <c r="P198" s="3"/>
      <c r="Q198" s="3"/>
      <c r="R198" s="3"/>
      <c r="S198" s="3"/>
      <c r="T198" s="3"/>
      <c r="U198" s="3"/>
      <c r="V198" s="3"/>
      <c r="W198" s="3"/>
      <c r="X198" s="3"/>
      <c r="Y198" s="3"/>
      <c r="Z198" s="3"/>
      <c r="AA198" s="3"/>
      <c r="AB198" s="1" t="s">
        <v>1</v>
      </c>
    </row>
    <row r="199" spans="2:28">
      <c r="B199" s="22"/>
      <c r="D199" s="2" t="str">
        <f>IF($D$1="ORDER BOOK",GetActionStrOrder(X199, H199, T199),IF($D$1="POSITIONS",GetActionStrPosition(F199, S199),IF(E199="","","")))</f>
        <v/>
      </c>
      <c r="E199" s="3"/>
      <c r="F199" s="3"/>
      <c r="G199" s="3"/>
      <c r="H199" s="3"/>
      <c r="I199" s="3"/>
      <c r="J199" s="3"/>
      <c r="K199" s="3"/>
      <c r="L199" s="3"/>
      <c r="M199" s="3"/>
      <c r="N199" s="3"/>
      <c r="O199" s="3"/>
      <c r="P199" s="3"/>
      <c r="Q199" s="3"/>
      <c r="R199" s="3"/>
      <c r="S199" s="3"/>
      <c r="T199" s="3"/>
      <c r="U199" s="3"/>
      <c r="V199" s="3"/>
      <c r="W199" s="3"/>
      <c r="X199" s="3"/>
      <c r="Y199" s="3"/>
      <c r="Z199" s="3"/>
      <c r="AA199" s="3"/>
      <c r="AB199" s="1" t="s">
        <v>1</v>
      </c>
    </row>
    <row r="200" spans="2:28">
      <c r="B200" s="22"/>
      <c r="D200" s="2" t="str">
        <f>IF($D$1="ORDER BOOK",GetActionStrOrder(X200, H200, T200),IF($D$1="POSITIONS",GetActionStrPosition(F200, S200),IF(E200="","","")))</f>
        <v/>
      </c>
      <c r="E200" s="3"/>
      <c r="F200" s="3"/>
      <c r="G200" s="3"/>
      <c r="H200" s="3"/>
      <c r="I200" s="3"/>
      <c r="J200" s="3"/>
      <c r="K200" s="3"/>
      <c r="L200" s="3"/>
      <c r="M200" s="3"/>
      <c r="N200" s="3"/>
      <c r="O200" s="3"/>
      <c r="P200" s="3"/>
      <c r="Q200" s="3"/>
      <c r="R200" s="3"/>
      <c r="S200" s="3"/>
      <c r="T200" s="3"/>
      <c r="U200" s="3"/>
      <c r="V200" s="3"/>
      <c r="W200" s="3"/>
      <c r="X200" s="3"/>
      <c r="Y200" s="3"/>
      <c r="Z200" s="3"/>
      <c r="AA200" s="3"/>
      <c r="AB200" s="1" t="s">
        <v>1</v>
      </c>
    </row>
    <row r="201" spans="2:28">
      <c r="B201" s="23"/>
      <c r="D201" s="2" t="str">
        <f>IF($D$1="ORDER BOOK",GetActionStrOrder(X201, H201, T201),IF($D$1="POSITIONS",GetActionStrPosition(F201, S201),IF(E201="","","")))</f>
        <v/>
      </c>
      <c r="E201" s="3"/>
      <c r="F201" s="3"/>
      <c r="G201" s="3"/>
      <c r="H201" s="3"/>
      <c r="I201" s="3"/>
      <c r="J201" s="3"/>
      <c r="K201" s="3"/>
      <c r="L201" s="3"/>
      <c r="M201" s="3"/>
      <c r="N201" s="3"/>
      <c r="O201" s="3"/>
      <c r="P201" s="3"/>
      <c r="Q201" s="3"/>
      <c r="R201" s="3"/>
      <c r="S201" s="3"/>
      <c r="T201" s="3"/>
      <c r="U201" s="3"/>
      <c r="V201" s="3"/>
      <c r="W201" s="3"/>
      <c r="X201" s="3"/>
      <c r="Y201" s="3"/>
      <c r="Z201" s="3"/>
      <c r="AA201" s="3"/>
      <c r="AB201" s="1" t="s">
        <v>1</v>
      </c>
    </row>
    <row r="202" spans="2:28">
      <c r="AB202" s="1" t="s">
        <v>1</v>
      </c>
    </row>
    <row r="203" spans="2:28" hidden="1">
      <c r="AB203" s="1" t="s">
        <v>1</v>
      </c>
    </row>
    <row r="204" spans="2:28" hidden="1">
      <c r="AB204" s="1" t="s">
        <v>1</v>
      </c>
    </row>
    <row r="205" spans="2:28" hidden="1">
      <c r="AB205" s="1" t="s">
        <v>1</v>
      </c>
    </row>
    <row r="206" spans="2:28" hidden="1">
      <c r="AB206" s="1" t="s">
        <v>1</v>
      </c>
    </row>
    <row r="207" spans="2:28" hidden="1">
      <c r="AB207" s="1" t="s">
        <v>1</v>
      </c>
    </row>
    <row r="208" spans="2:28" hidden="1">
      <c r="AB208" s="1" t="s">
        <v>1</v>
      </c>
    </row>
    <row r="209" spans="28:28" hidden="1">
      <c r="AB209" s="1" t="s">
        <v>1</v>
      </c>
    </row>
    <row r="210" spans="28:28" hidden="1">
      <c r="AB210" s="1" t="s">
        <v>1</v>
      </c>
    </row>
    <row r="211" spans="28:28" hidden="1">
      <c r="AB211" s="1" t="s">
        <v>1</v>
      </c>
    </row>
    <row r="212" spans="28:28" hidden="1">
      <c r="AB212" s="1" t="s">
        <v>1</v>
      </c>
    </row>
    <row r="213" spans="28:28" hidden="1">
      <c r="AB213" s="1" t="s">
        <v>1</v>
      </c>
    </row>
    <row r="214" spans="28:28" hidden="1">
      <c r="AB214" s="1" t="s">
        <v>1</v>
      </c>
    </row>
    <row r="215" spans="28:28" hidden="1">
      <c r="AB215" s="1" t="s">
        <v>1</v>
      </c>
    </row>
    <row r="216" spans="28:28" hidden="1">
      <c r="AB216" s="1" t="s">
        <v>1</v>
      </c>
    </row>
    <row r="217" spans="28:28" hidden="1">
      <c r="AB217" s="1" t="s">
        <v>1</v>
      </c>
    </row>
    <row r="218" spans="28:28" hidden="1">
      <c r="AB218" s="1" t="s">
        <v>1</v>
      </c>
    </row>
    <row r="219" spans="28:28" hidden="1">
      <c r="AB219" s="1" t="s">
        <v>1</v>
      </c>
    </row>
    <row r="220" spans="28:28" hidden="1">
      <c r="AB220" s="1" t="s">
        <v>1</v>
      </c>
    </row>
    <row r="221" spans="28:28" hidden="1">
      <c r="AB221" s="1" t="s">
        <v>1</v>
      </c>
    </row>
    <row r="222" spans="28:28" hidden="1">
      <c r="AB222" s="1" t="s">
        <v>1</v>
      </c>
    </row>
    <row r="223" spans="28:28" hidden="1">
      <c r="AB223" s="1" t="s">
        <v>1</v>
      </c>
    </row>
    <row r="224" spans="28:28" hidden="1">
      <c r="AB224" s="1" t="s">
        <v>1</v>
      </c>
    </row>
    <row r="225" spans="28:28" hidden="1">
      <c r="AB225" s="1" t="s">
        <v>1</v>
      </c>
    </row>
    <row r="226" spans="28:28" hidden="1">
      <c r="AB226" s="1" t="s">
        <v>1</v>
      </c>
    </row>
    <row r="227" spans="28:28" hidden="1">
      <c r="AB227" s="1" t="s">
        <v>1</v>
      </c>
    </row>
    <row r="228" spans="28:28" hidden="1">
      <c r="AB228" s="1" t="s">
        <v>1</v>
      </c>
    </row>
    <row r="229" spans="28:28" hidden="1">
      <c r="AB229" s="1" t="s">
        <v>1</v>
      </c>
    </row>
    <row r="230" spans="28:28" hidden="1">
      <c r="AB230" s="1" t="s">
        <v>1</v>
      </c>
    </row>
    <row r="231" spans="28:28" hidden="1">
      <c r="AB231" s="1" t="s">
        <v>1</v>
      </c>
    </row>
    <row r="232" spans="28:28" hidden="1">
      <c r="AB232" s="1" t="s">
        <v>1</v>
      </c>
    </row>
    <row r="233" spans="28:28" hidden="1">
      <c r="AB233" s="1" t="s">
        <v>1</v>
      </c>
    </row>
    <row r="234" spans="28:28" hidden="1">
      <c r="AB234" s="1" t="s">
        <v>1</v>
      </c>
    </row>
    <row r="235" spans="28:28" hidden="1">
      <c r="AB235" s="1" t="s">
        <v>1</v>
      </c>
    </row>
    <row r="236" spans="28:28" hidden="1">
      <c r="AB236" s="1" t="s">
        <v>1</v>
      </c>
    </row>
    <row r="237" spans="28:28" hidden="1">
      <c r="AB237" s="1" t="s">
        <v>1</v>
      </c>
    </row>
    <row r="238" spans="28:28" hidden="1">
      <c r="AB238" s="1" t="s">
        <v>1</v>
      </c>
    </row>
    <row r="239" spans="28:28" hidden="1">
      <c r="AB239" s="1" t="s">
        <v>1</v>
      </c>
    </row>
    <row r="240" spans="28:28" hidden="1">
      <c r="AB240" s="1" t="s">
        <v>1</v>
      </c>
    </row>
    <row r="241" spans="28:28" hidden="1">
      <c r="AB241" s="1" t="s">
        <v>1</v>
      </c>
    </row>
    <row r="242" spans="28:28" hidden="1">
      <c r="AB242" s="1" t="s">
        <v>1</v>
      </c>
    </row>
    <row r="243" spans="28:28" hidden="1">
      <c r="AB243" s="1" t="s">
        <v>1</v>
      </c>
    </row>
    <row r="244" spans="28:28" hidden="1">
      <c r="AB244" s="1" t="s">
        <v>1</v>
      </c>
    </row>
    <row r="245" spans="28:28" hidden="1">
      <c r="AB245" s="1" t="s">
        <v>1</v>
      </c>
    </row>
    <row r="246" spans="28:28" hidden="1">
      <c r="AB246" s="1" t="s">
        <v>1</v>
      </c>
    </row>
    <row r="247" spans="28:28" hidden="1">
      <c r="AB247" s="1" t="s">
        <v>1</v>
      </c>
    </row>
    <row r="248" spans="28:28" hidden="1">
      <c r="AB248" s="1" t="s">
        <v>1</v>
      </c>
    </row>
    <row r="249" spans="28:28" hidden="1">
      <c r="AB249" s="1" t="s">
        <v>1</v>
      </c>
    </row>
    <row r="250" spans="28:28" hidden="1">
      <c r="AB250" s="1" t="s">
        <v>1</v>
      </c>
    </row>
    <row r="251" spans="28:28" hidden="1">
      <c r="AB251" s="1" t="s">
        <v>1</v>
      </c>
    </row>
    <row r="252" spans="28:28" hidden="1">
      <c r="AB252" s="1" t="s">
        <v>1</v>
      </c>
    </row>
    <row r="253" spans="28:28" hidden="1">
      <c r="AB253" s="1" t="s">
        <v>1</v>
      </c>
    </row>
    <row r="254" spans="28:28" hidden="1">
      <c r="AB254" s="1" t="s">
        <v>1</v>
      </c>
    </row>
    <row r="255" spans="28:28" hidden="1">
      <c r="AB255" s="1" t="s">
        <v>1</v>
      </c>
    </row>
    <row r="256" spans="28:28" hidden="1">
      <c r="AB256" s="1" t="s">
        <v>1</v>
      </c>
    </row>
    <row r="257" spans="28:28" hidden="1">
      <c r="AB257" s="1" t="s">
        <v>1</v>
      </c>
    </row>
    <row r="258" spans="28:28" hidden="1">
      <c r="AB258" s="1" t="s">
        <v>1</v>
      </c>
    </row>
    <row r="259" spans="28:28" hidden="1">
      <c r="AB259" s="1" t="s">
        <v>1</v>
      </c>
    </row>
    <row r="260" spans="28:28" hidden="1">
      <c r="AB260" s="1" t="s">
        <v>1</v>
      </c>
    </row>
    <row r="261" spans="28:28" hidden="1">
      <c r="AB261" s="1" t="s">
        <v>1</v>
      </c>
    </row>
    <row r="262" spans="28:28" hidden="1">
      <c r="AB262" s="1" t="s">
        <v>1</v>
      </c>
    </row>
    <row r="263" spans="28:28" hidden="1">
      <c r="AB263" s="1" t="s">
        <v>1</v>
      </c>
    </row>
    <row r="264" spans="28:28" hidden="1">
      <c r="AB264" s="1" t="s">
        <v>1</v>
      </c>
    </row>
    <row r="265" spans="28:28" hidden="1">
      <c r="AB265" s="1" t="s">
        <v>1</v>
      </c>
    </row>
    <row r="266" spans="28:28" hidden="1">
      <c r="AB266" s="1" t="s">
        <v>1</v>
      </c>
    </row>
    <row r="267" spans="28:28" hidden="1">
      <c r="AB267" s="1" t="s">
        <v>1</v>
      </c>
    </row>
    <row r="268" spans="28:28" hidden="1">
      <c r="AB268" s="1" t="s">
        <v>1</v>
      </c>
    </row>
    <row r="269" spans="28:28" hidden="1">
      <c r="AB269" s="1" t="s">
        <v>1</v>
      </c>
    </row>
    <row r="270" spans="28:28" hidden="1">
      <c r="AB270" s="1" t="s">
        <v>1</v>
      </c>
    </row>
    <row r="271" spans="28:28" hidden="1">
      <c r="AB271" s="1" t="s">
        <v>1</v>
      </c>
    </row>
    <row r="272" spans="28:28" hidden="1">
      <c r="AB272" s="1" t="s">
        <v>1</v>
      </c>
    </row>
    <row r="273" spans="28:28" hidden="1">
      <c r="AB273" s="1" t="s">
        <v>1</v>
      </c>
    </row>
    <row r="274" spans="28:28" hidden="1">
      <c r="AB274" s="1" t="s">
        <v>1</v>
      </c>
    </row>
    <row r="275" spans="28:28" hidden="1">
      <c r="AB275" s="1" t="s">
        <v>1</v>
      </c>
    </row>
    <row r="276" spans="28:28" hidden="1">
      <c r="AB276" s="1" t="s">
        <v>1</v>
      </c>
    </row>
    <row r="277" spans="28:28" hidden="1">
      <c r="AB277" s="1" t="s">
        <v>1</v>
      </c>
    </row>
    <row r="278" spans="28:28" hidden="1">
      <c r="AB278" s="1" t="s">
        <v>1</v>
      </c>
    </row>
    <row r="279" spans="28:28" hidden="1">
      <c r="AB279" s="1" t="s">
        <v>1</v>
      </c>
    </row>
    <row r="280" spans="28:28" hidden="1">
      <c r="AB280" s="1" t="s">
        <v>1</v>
      </c>
    </row>
    <row r="281" spans="28:28" hidden="1">
      <c r="AB281" s="1" t="s">
        <v>1</v>
      </c>
    </row>
    <row r="282" spans="28:28" hidden="1">
      <c r="AB282" s="1" t="s">
        <v>1</v>
      </c>
    </row>
    <row r="283" spans="28:28" hidden="1">
      <c r="AB283" s="1" t="s">
        <v>1</v>
      </c>
    </row>
    <row r="284" spans="28:28" hidden="1">
      <c r="AB284" s="1" t="s">
        <v>1</v>
      </c>
    </row>
    <row r="285" spans="28:28" hidden="1">
      <c r="AB285" s="1" t="s">
        <v>1</v>
      </c>
    </row>
    <row r="286" spans="28:28" hidden="1">
      <c r="AB286" s="1" t="s">
        <v>1</v>
      </c>
    </row>
    <row r="287" spans="28:28" hidden="1">
      <c r="AB287" s="1" t="s">
        <v>1</v>
      </c>
    </row>
    <row r="288" spans="28:28" hidden="1">
      <c r="AB288" s="1" t="s">
        <v>1</v>
      </c>
    </row>
    <row r="289" spans="28:28" hidden="1">
      <c r="AB289" s="1" t="s">
        <v>1</v>
      </c>
    </row>
    <row r="290" spans="28:28" hidden="1">
      <c r="AB290" s="1" t="s">
        <v>1</v>
      </c>
    </row>
    <row r="291" spans="28:28" hidden="1">
      <c r="AB291" s="1" t="s">
        <v>1</v>
      </c>
    </row>
    <row r="292" spans="28:28" hidden="1">
      <c r="AB292" s="1" t="s">
        <v>1</v>
      </c>
    </row>
    <row r="293" spans="28:28" hidden="1">
      <c r="AB293" s="1" t="s">
        <v>1</v>
      </c>
    </row>
    <row r="294" spans="28:28" hidden="1">
      <c r="AB294" s="1" t="s">
        <v>1</v>
      </c>
    </row>
    <row r="295" spans="28:28" hidden="1">
      <c r="AB295" s="1" t="s">
        <v>1</v>
      </c>
    </row>
    <row r="296" spans="28:28" hidden="1">
      <c r="AB296" s="1" t="s">
        <v>1</v>
      </c>
    </row>
    <row r="297" spans="28:28" hidden="1">
      <c r="AB297" s="1" t="s">
        <v>1</v>
      </c>
    </row>
    <row r="298" spans="28:28" hidden="1">
      <c r="AB298" s="1" t="s">
        <v>1</v>
      </c>
    </row>
    <row r="299" spans="28:28" hidden="1">
      <c r="AB299" s="1" t="s">
        <v>1</v>
      </c>
    </row>
    <row r="300" spans="28:28" hidden="1">
      <c r="AB300" s="1" t="s">
        <v>1</v>
      </c>
    </row>
    <row r="301" spans="28:28" hidden="1">
      <c r="AB301" s="1" t="s">
        <v>1</v>
      </c>
    </row>
    <row r="302" spans="28:28" hidden="1">
      <c r="AB302" s="1" t="s">
        <v>1</v>
      </c>
    </row>
    <row r="303" spans="28:28" hidden="1">
      <c r="AB303" s="1" t="s">
        <v>1</v>
      </c>
    </row>
    <row r="304" spans="28:28" hidden="1">
      <c r="AB304" s="1" t="s">
        <v>1</v>
      </c>
    </row>
    <row r="305" spans="28:28" hidden="1">
      <c r="AB305" s="1" t="s">
        <v>1</v>
      </c>
    </row>
    <row r="306" spans="28:28" hidden="1">
      <c r="AB306" s="1" t="s">
        <v>1</v>
      </c>
    </row>
    <row r="307" spans="28:28" hidden="1">
      <c r="AB307" s="1" t="s">
        <v>1</v>
      </c>
    </row>
    <row r="308" spans="28:28" hidden="1">
      <c r="AB308" s="1" t="s">
        <v>1</v>
      </c>
    </row>
    <row r="309" spans="28:28" hidden="1">
      <c r="AB309" s="1" t="s">
        <v>1</v>
      </c>
    </row>
    <row r="310" spans="28:28" hidden="1">
      <c r="AB310" s="1" t="s">
        <v>1</v>
      </c>
    </row>
    <row r="311" spans="28:28" hidden="1">
      <c r="AB311" s="1" t="s">
        <v>1</v>
      </c>
    </row>
    <row r="312" spans="28:28" hidden="1">
      <c r="AB312" s="1" t="s">
        <v>1</v>
      </c>
    </row>
    <row r="313" spans="28:28" hidden="1">
      <c r="AB313" s="1" t="s">
        <v>1</v>
      </c>
    </row>
    <row r="314" spans="28:28" hidden="1">
      <c r="AB314" s="1" t="s">
        <v>1</v>
      </c>
    </row>
    <row r="315" spans="28:28" hidden="1">
      <c r="AB315" s="1" t="s">
        <v>1</v>
      </c>
    </row>
    <row r="316" spans="28:28" hidden="1">
      <c r="AB316" s="1" t="s">
        <v>1</v>
      </c>
    </row>
    <row r="317" spans="28:28" hidden="1">
      <c r="AB317" s="1" t="s">
        <v>1</v>
      </c>
    </row>
    <row r="318" spans="28:28" hidden="1">
      <c r="AB318" s="1" t="s">
        <v>1</v>
      </c>
    </row>
    <row r="319" spans="28:28" hidden="1">
      <c r="AB319" s="1" t="s">
        <v>1</v>
      </c>
    </row>
    <row r="320" spans="28:28" hidden="1">
      <c r="AB320" s="1" t="s">
        <v>1</v>
      </c>
    </row>
    <row r="321" spans="28:28" hidden="1">
      <c r="AB321" s="1" t="s">
        <v>1</v>
      </c>
    </row>
    <row r="322" spans="28:28" hidden="1">
      <c r="AB322" s="1" t="s">
        <v>1</v>
      </c>
    </row>
    <row r="323" spans="28:28" hidden="1">
      <c r="AB323" s="1" t="s">
        <v>1</v>
      </c>
    </row>
    <row r="324" spans="28:28" hidden="1">
      <c r="AB324" s="1" t="s">
        <v>1</v>
      </c>
    </row>
  </sheetData>
  <sheetProtection password="CC3D" sheet="1" objects="1" scenarios="1" formatCells="0" formatColumns="0" formatRows="0"/>
  <mergeCells count="2">
    <mergeCell ref="B2:B201"/>
    <mergeCell ref="D1:AA1"/>
  </mergeCells>
  <conditionalFormatting sqref="D2:D201">
    <cfRule type="containsText" dxfId="6" priority="4" operator="containsText" text="MODIFY">
      <formula>NOT(ISERROR(SEARCH("MODIFY",D2)))</formula>
    </cfRule>
  </conditionalFormatting>
  <conditionalFormatting sqref="D3:D201">
    <cfRule type="containsText" dxfId="5" priority="3" operator="containsText" text="SQOFF">
      <formula>NOT(ISERROR(SEARCH("SQOFF",D3)))</formula>
    </cfRule>
    <cfRule type="containsText" dxfId="4" priority="2" operator="containsText" text="EXIT CO">
      <formula>NOT(ISERROR(SEARCH("EXIT CO",D3)))</formula>
    </cfRule>
    <cfRule type="containsText" dxfId="3" priority="1" operator="containsText" text="EXIT OCO">
      <formula>NOT(ISERROR(SEARCH("EXIT OCO",D3)))</formula>
    </cfRule>
  </conditionalFormatting>
  <pageMargins left="0.7" right="0.7" top="0.75" bottom="0.75" header="0.3" footer="0.3"/>
  <pageSetup paperSize="9" orientation="portrait" horizontalDpi="300" verticalDpi="300" r:id="rId1"/>
  <legacyDrawing r:id="rId2"/>
  <controls>
    <control shapeId="2068" r:id="rId3" name="TASettingsButton"/>
    <control shapeId="2067" r:id="rId4" name="TASignalsButton"/>
    <control shapeId="2066" r:id="rId5" name="HistDataButton"/>
    <control shapeId="2051" r:id="rId6" name="LogoutButton"/>
    <control shapeId="2052" r:id="rId7" name="HoldingsButton"/>
    <control shapeId="2053" r:id="rId8" name="TradeBookButton"/>
    <control shapeId="2054" r:id="rId9" name="OrderBookButton"/>
    <control shapeId="2055" r:id="rId10" name="PositionsButton"/>
    <control shapeId="2056" r:id="rId11" name="FundsButton"/>
    <control shapeId="2057" r:id="rId12" name="SymbolStatusButton"/>
    <control shapeId="2058" r:id="rId13" name="SettingsButton"/>
    <control shapeId="2059" r:id="rId14" name="LoginButton"/>
    <control shapeId="2060" r:id="rId15" name="PlaceOrderButton"/>
    <control shapeId="2061" r:id="rId16" name="LoginManualButton"/>
    <control shapeId="2062" r:id="rId17" name="RefreshRTDButton"/>
    <control shapeId="2063" r:id="rId18" name="TokenManualButton"/>
    <control shapeId="2064" r:id="rId19" name="ModifyOrderButton"/>
    <control shapeId="2065" r:id="rId20" name="CalculateExcelButton"/>
  </controls>
</worksheet>
</file>

<file path=xl/worksheets/sheet2.xml><?xml version="1.0" encoding="utf-8"?>
<worksheet xmlns="http://schemas.openxmlformats.org/spreadsheetml/2006/main" xmlns:r="http://schemas.openxmlformats.org/officeDocument/2006/relationships">
  <sheetPr codeName="Sheet8"/>
  <dimension ref="A1:AE202"/>
  <sheetViews>
    <sheetView showGridLines="0" workbookViewId="0">
      <pane xSplit="6" ySplit="1" topLeftCell="G2" activePane="bottomRight" state="frozen"/>
      <selection pane="topRight" activeCell="G1" sqref="G1"/>
      <selection pane="bottomLeft" activeCell="A2" sqref="A2"/>
      <selection pane="bottomRight"/>
    </sheetView>
  </sheetViews>
  <sheetFormatPr defaultColWidth="0" defaultRowHeight="14.25" customHeight="1" zeroHeight="1"/>
  <cols>
    <col min="1" max="1" width="9.140625" style="16" customWidth="1"/>
    <col min="2" max="2" width="27.7109375" style="16" customWidth="1"/>
    <col min="3" max="3" width="12.140625" style="16" customWidth="1"/>
    <col min="4" max="24" width="9.140625" style="16" customWidth="1"/>
    <col min="25" max="26" width="11.28515625" style="16" customWidth="1"/>
    <col min="27" max="27" width="21.28515625" style="16" customWidth="1"/>
    <col min="28" max="28" width="9.140625" style="16" customWidth="1"/>
    <col min="29" max="29" width="15.42578125" style="16" customWidth="1"/>
    <col min="30" max="30" width="9.140625" style="16" customWidth="1"/>
    <col min="31" max="31" width="2.7109375" style="16" customWidth="1"/>
    <col min="32" max="16384" width="9.140625" style="16" hidden="1"/>
  </cols>
  <sheetData>
    <row r="1" spans="1:30" s="11" customFormat="1">
      <c r="A1" s="17" t="s">
        <v>10</v>
      </c>
      <c r="B1" s="17" t="s">
        <v>4</v>
      </c>
      <c r="C1" s="17" t="s">
        <v>31</v>
      </c>
      <c r="D1" s="17" t="s">
        <v>3</v>
      </c>
      <c r="E1" s="17" t="s">
        <v>34</v>
      </c>
      <c r="F1" s="17" t="s">
        <v>35</v>
      </c>
      <c r="G1" s="17" t="s">
        <v>11</v>
      </c>
      <c r="H1" s="17" t="s">
        <v>12</v>
      </c>
      <c r="I1" s="17" t="s">
        <v>13</v>
      </c>
      <c r="J1" s="17" t="s">
        <v>14</v>
      </c>
      <c r="K1" s="17" t="s">
        <v>15</v>
      </c>
      <c r="L1" s="17" t="s">
        <v>16</v>
      </c>
      <c r="M1" s="17" t="s">
        <v>17</v>
      </c>
      <c r="N1" s="17" t="s">
        <v>18</v>
      </c>
      <c r="O1" s="17" t="s">
        <v>8</v>
      </c>
      <c r="P1" s="17" t="s">
        <v>19</v>
      </c>
      <c r="Q1" s="17" t="s">
        <v>20</v>
      </c>
      <c r="R1" s="17" t="s">
        <v>21</v>
      </c>
      <c r="S1" s="17" t="s">
        <v>6</v>
      </c>
      <c r="T1" s="17" t="s">
        <v>7</v>
      </c>
      <c r="U1" s="17" t="s">
        <v>22</v>
      </c>
      <c r="V1" s="17" t="s">
        <v>23</v>
      </c>
      <c r="W1" s="17" t="s">
        <v>24</v>
      </c>
      <c r="X1" s="17" t="s">
        <v>25</v>
      </c>
      <c r="Y1" s="17" t="s">
        <v>36</v>
      </c>
      <c r="Z1" s="17" t="s">
        <v>37</v>
      </c>
      <c r="AA1" s="17" t="s">
        <v>26</v>
      </c>
      <c r="AB1" s="17" t="s">
        <v>27</v>
      </c>
      <c r="AC1" s="17" t="s">
        <v>28</v>
      </c>
      <c r="AD1" s="17" t="s">
        <v>29</v>
      </c>
    </row>
    <row r="2" spans="1:30">
      <c r="A2" s="9" t="s">
        <v>30</v>
      </c>
      <c r="B2" s="9" t="s">
        <v>9</v>
      </c>
      <c r="C2" s="10" t="str">
        <f>IF(D2&gt;0,"MKT DEPTH","")</f>
        <v/>
      </c>
      <c r="D2" s="12">
        <f>GetRTD(A2,B2,"LAST")</f>
        <v>0</v>
      </c>
      <c r="E2" s="13">
        <f>GetRTD(A2,B2,"NETQTY")</f>
        <v>0</v>
      </c>
      <c r="F2" s="12">
        <f>GetRTD(A2,B2,"MTM")</f>
        <v>0</v>
      </c>
      <c r="G2" s="12">
        <f>GetRTD(A2,B2,"PCTCHG")</f>
        <v>0</v>
      </c>
      <c r="H2" s="12">
        <f>GetRTD(A2,B2,"NETCHG")</f>
        <v>0</v>
      </c>
      <c r="I2" s="13">
        <f>GetRTD(A2,B2,"LASTSIZE")</f>
        <v>0</v>
      </c>
      <c r="J2" s="12">
        <f>GetRTD(A2,B2,"BID")</f>
        <v>0</v>
      </c>
      <c r="K2" s="13">
        <f>GetRTD(A2,B2,"BIDSIZE")</f>
        <v>0</v>
      </c>
      <c r="L2" s="12">
        <f>GetRTD(A2,B2,"ASK")</f>
        <v>0</v>
      </c>
      <c r="M2" s="13">
        <f>GetRTD(A2,B2,"ASKSIZE")</f>
        <v>0</v>
      </c>
      <c r="N2" s="12">
        <f>GetRTD(A2,B2,"AVGPRICE")</f>
        <v>0</v>
      </c>
      <c r="O2" s="13">
        <f>GetRTD(A2,B2,"VOLUME")</f>
        <v>0</v>
      </c>
      <c r="P2" s="13" t="str">
        <f>GetRTD(A2,B2,"BUYQTY")</f>
        <v>Field Not Supported</v>
      </c>
      <c r="Q2" s="13" t="str">
        <f>GetRTD(A2,B2,"SELLQTY")</f>
        <v>Field Not Supported</v>
      </c>
      <c r="R2" s="12">
        <f>GetRTD(A2,B2,"OPEN")</f>
        <v>0</v>
      </c>
      <c r="S2" s="12">
        <f>GetRTD(A2,B2,"HIGH")</f>
        <v>0</v>
      </c>
      <c r="T2" s="12">
        <f>GetRTD(A2,B2,"LOW")</f>
        <v>0</v>
      </c>
      <c r="U2" s="12">
        <f>GetRTD(A2,B2,"CLOSE")</f>
        <v>0</v>
      </c>
      <c r="V2" s="13">
        <f>GetRTD(A2,B2,"OI")</f>
        <v>0</v>
      </c>
      <c r="W2" s="12">
        <f>GetRTD(A2,B2,"LOWERCKT")</f>
        <v>0</v>
      </c>
      <c r="X2" s="12">
        <f t="shared" ref="X2:X33" si="0">GetRTD(A2,B2,"UPPERCKT")</f>
        <v>0</v>
      </c>
      <c r="Y2" s="12">
        <f>GetRTD(A2,B2,"YEARLYHIGH")</f>
        <v>0</v>
      </c>
      <c r="Z2" s="12">
        <f>GetRTD(A2,B2,"YEARLYLOW")</f>
        <v>0</v>
      </c>
      <c r="AA2" s="14">
        <f>GetRTD(A2,B2,"LTT")</f>
        <v>0</v>
      </c>
      <c r="AB2" s="12">
        <f>GetRTD(A2,B2,"SPOT")</f>
        <v>0</v>
      </c>
      <c r="AC2" s="15" t="str">
        <f>IF(OR(A2="",B2=""),FALSE,SubscribeQuotes(A2,B2))</f>
        <v>User not logged-in. User must be logged-in to make this call</v>
      </c>
      <c r="AD2" s="13">
        <f t="shared" ref="AD2" si="1">GetValueColor(B2,D2,"Ltp")</f>
        <v>0</v>
      </c>
    </row>
    <row r="3" spans="1:30">
      <c r="A3" s="9"/>
      <c r="B3" s="9"/>
      <c r="C3" s="10" t="str">
        <f t="shared" ref="C3:C66" si="2">IF(D3&gt;0,"MKT DEPTH","")</f>
        <v/>
      </c>
      <c r="D3" s="12">
        <f t="shared" ref="D3:D66" si="3">GetRTD(A3,B3,"LAST")</f>
        <v>0</v>
      </c>
      <c r="E3" s="13">
        <f t="shared" ref="E3:E66" si="4">GetRTD(A3,B3,"NETQTY")</f>
        <v>0</v>
      </c>
      <c r="F3" s="12">
        <f t="shared" ref="F3:F66" si="5">GetRTD(A3,B3,"MTM")</f>
        <v>0</v>
      </c>
      <c r="G3" s="12">
        <f t="shared" ref="G3:G66" si="6">GetRTD(A3,B3,"PCTCHG")</f>
        <v>0</v>
      </c>
      <c r="H3" s="12">
        <f t="shared" ref="H3:H66" si="7">GetRTD(A3,B3,"NETCHG")</f>
        <v>0</v>
      </c>
      <c r="I3" s="13">
        <f t="shared" ref="I3:I66" si="8">GetRTD(A3,B3,"LASTSIZE")</f>
        <v>0</v>
      </c>
      <c r="J3" s="12">
        <f t="shared" ref="J3:J66" si="9">GetRTD(A3,B3,"BID")</f>
        <v>0</v>
      </c>
      <c r="K3" s="13">
        <f t="shared" ref="K3:K66" si="10">GetRTD(A3,B3,"BIDSIZE")</f>
        <v>0</v>
      </c>
      <c r="L3" s="12">
        <f t="shared" ref="L3:L66" si="11">GetRTD(A3,B3,"ASK")</f>
        <v>0</v>
      </c>
      <c r="M3" s="13">
        <f t="shared" ref="M3:M66" si="12">GetRTD(A3,B3,"ASKSIZE")</f>
        <v>0</v>
      </c>
      <c r="N3" s="12">
        <f t="shared" ref="N3:N66" si="13">GetRTD(A3,B3,"AVGPRICE")</f>
        <v>0</v>
      </c>
      <c r="O3" s="13">
        <f t="shared" ref="O3:O66" si="14">GetRTD(A3,B3,"VOLUME")</f>
        <v>0</v>
      </c>
      <c r="P3" s="13">
        <f t="shared" ref="P3:P66" si="15">GetRTD(A3,B3,"BUYQTY")</f>
        <v>0</v>
      </c>
      <c r="Q3" s="13">
        <f t="shared" ref="Q3:Q66" si="16">GetRTD(A3,B3,"SELLQTY")</f>
        <v>0</v>
      </c>
      <c r="R3" s="12">
        <f t="shared" ref="R3:R66" si="17">GetRTD(A3,B3,"OPEN")</f>
        <v>0</v>
      </c>
      <c r="S3" s="12">
        <f t="shared" ref="S3:S66" si="18">GetRTD(A3,B3,"HIGH")</f>
        <v>0</v>
      </c>
      <c r="T3" s="12">
        <f t="shared" ref="T3:T66" si="19">GetRTD(A3,B3,"LOW")</f>
        <v>0</v>
      </c>
      <c r="U3" s="12">
        <f t="shared" ref="U3:U66" si="20">GetRTD(A3,B3,"CLOSE")</f>
        <v>0</v>
      </c>
      <c r="V3" s="13">
        <f t="shared" ref="V3:V66" si="21">GetRTD(A3,B3,"OI")</f>
        <v>0</v>
      </c>
      <c r="W3" s="12">
        <f t="shared" ref="W3:W66" si="22">GetRTD(A3,B3,"LOWERCKT")</f>
        <v>0</v>
      </c>
      <c r="X3" s="12">
        <f t="shared" si="0"/>
        <v>0</v>
      </c>
      <c r="Y3" s="12">
        <f t="shared" ref="Y3:Y66" si="23">GetRTD(A3,B3,"YEARLYHIGH")</f>
        <v>0</v>
      </c>
      <c r="Z3" s="12">
        <f t="shared" ref="Z3:Z66" si="24">GetRTD(A3,B3,"YEARLYLOW")</f>
        <v>0</v>
      </c>
      <c r="AA3" s="14">
        <f t="shared" ref="AA3:AA66" si="25">GetRTD(A3,B3,"LTT")</f>
        <v>0</v>
      </c>
      <c r="AB3" s="12">
        <f t="shared" ref="AB3:AB66" si="26">GetRTD(A3,B3,"SPOT")</f>
        <v>0</v>
      </c>
      <c r="AC3" s="15" t="b">
        <f>IF(OR(A3="",B3=""),FALSE,SubscribeQuotes(A3,B3))</f>
        <v>0</v>
      </c>
      <c r="AD3" s="13">
        <f t="shared" ref="AD3:AD66" si="27">GetValueColor(B3,D3,"Ltp")</f>
        <v>0</v>
      </c>
    </row>
    <row r="4" spans="1:30">
      <c r="A4" s="9"/>
      <c r="B4" s="9"/>
      <c r="C4" s="10" t="str">
        <f t="shared" si="2"/>
        <v/>
      </c>
      <c r="D4" s="12">
        <f t="shared" si="3"/>
        <v>0</v>
      </c>
      <c r="E4" s="13">
        <f t="shared" si="4"/>
        <v>0</v>
      </c>
      <c r="F4" s="12">
        <f t="shared" si="5"/>
        <v>0</v>
      </c>
      <c r="G4" s="12">
        <f t="shared" si="6"/>
        <v>0</v>
      </c>
      <c r="H4" s="12">
        <f t="shared" si="7"/>
        <v>0</v>
      </c>
      <c r="I4" s="13">
        <f t="shared" si="8"/>
        <v>0</v>
      </c>
      <c r="J4" s="12">
        <f t="shared" si="9"/>
        <v>0</v>
      </c>
      <c r="K4" s="13">
        <f t="shared" si="10"/>
        <v>0</v>
      </c>
      <c r="L4" s="12">
        <f t="shared" si="11"/>
        <v>0</v>
      </c>
      <c r="M4" s="13">
        <f t="shared" si="12"/>
        <v>0</v>
      </c>
      <c r="N4" s="12">
        <f t="shared" si="13"/>
        <v>0</v>
      </c>
      <c r="O4" s="13">
        <f t="shared" si="14"/>
        <v>0</v>
      </c>
      <c r="P4" s="13">
        <f t="shared" si="15"/>
        <v>0</v>
      </c>
      <c r="Q4" s="13">
        <f t="shared" si="16"/>
        <v>0</v>
      </c>
      <c r="R4" s="12">
        <f t="shared" si="17"/>
        <v>0</v>
      </c>
      <c r="S4" s="12">
        <f t="shared" si="18"/>
        <v>0</v>
      </c>
      <c r="T4" s="12">
        <f t="shared" si="19"/>
        <v>0</v>
      </c>
      <c r="U4" s="12">
        <f t="shared" si="20"/>
        <v>0</v>
      </c>
      <c r="V4" s="13">
        <f t="shared" si="21"/>
        <v>0</v>
      </c>
      <c r="W4" s="12">
        <f t="shared" si="22"/>
        <v>0</v>
      </c>
      <c r="X4" s="12">
        <f t="shared" si="0"/>
        <v>0</v>
      </c>
      <c r="Y4" s="12">
        <f t="shared" si="23"/>
        <v>0</v>
      </c>
      <c r="Z4" s="12">
        <f t="shared" si="24"/>
        <v>0</v>
      </c>
      <c r="AA4" s="14">
        <f t="shared" si="25"/>
        <v>0</v>
      </c>
      <c r="AB4" s="12">
        <f t="shared" si="26"/>
        <v>0</v>
      </c>
      <c r="AC4" s="15" t="b">
        <f>IF(OR(A4="",B4=""),FALSE,SubscribeQuotes(A4,B4))</f>
        <v>0</v>
      </c>
      <c r="AD4" s="13">
        <f t="shared" si="27"/>
        <v>0</v>
      </c>
    </row>
    <row r="5" spans="1:30">
      <c r="A5" s="9"/>
      <c r="B5" s="9"/>
      <c r="C5" s="10" t="str">
        <f t="shared" si="2"/>
        <v/>
      </c>
      <c r="D5" s="12">
        <f t="shared" si="3"/>
        <v>0</v>
      </c>
      <c r="E5" s="13">
        <f t="shared" si="4"/>
        <v>0</v>
      </c>
      <c r="F5" s="12">
        <f t="shared" si="5"/>
        <v>0</v>
      </c>
      <c r="G5" s="12">
        <f t="shared" si="6"/>
        <v>0</v>
      </c>
      <c r="H5" s="12">
        <f t="shared" si="7"/>
        <v>0</v>
      </c>
      <c r="I5" s="13">
        <f t="shared" si="8"/>
        <v>0</v>
      </c>
      <c r="J5" s="12">
        <f t="shared" si="9"/>
        <v>0</v>
      </c>
      <c r="K5" s="13">
        <f t="shared" si="10"/>
        <v>0</v>
      </c>
      <c r="L5" s="12">
        <f t="shared" si="11"/>
        <v>0</v>
      </c>
      <c r="M5" s="13">
        <f t="shared" si="12"/>
        <v>0</v>
      </c>
      <c r="N5" s="12">
        <f t="shared" si="13"/>
        <v>0</v>
      </c>
      <c r="O5" s="13">
        <f t="shared" si="14"/>
        <v>0</v>
      </c>
      <c r="P5" s="13">
        <f t="shared" si="15"/>
        <v>0</v>
      </c>
      <c r="Q5" s="13">
        <f t="shared" si="16"/>
        <v>0</v>
      </c>
      <c r="R5" s="12">
        <f t="shared" si="17"/>
        <v>0</v>
      </c>
      <c r="S5" s="12">
        <f t="shared" si="18"/>
        <v>0</v>
      </c>
      <c r="T5" s="12">
        <f t="shared" si="19"/>
        <v>0</v>
      </c>
      <c r="U5" s="12">
        <f t="shared" si="20"/>
        <v>0</v>
      </c>
      <c r="V5" s="13">
        <f t="shared" si="21"/>
        <v>0</v>
      </c>
      <c r="W5" s="12">
        <f t="shared" si="22"/>
        <v>0</v>
      </c>
      <c r="X5" s="12">
        <f t="shared" si="0"/>
        <v>0</v>
      </c>
      <c r="Y5" s="12">
        <f t="shared" si="23"/>
        <v>0</v>
      </c>
      <c r="Z5" s="12">
        <f t="shared" si="24"/>
        <v>0</v>
      </c>
      <c r="AA5" s="14">
        <f t="shared" si="25"/>
        <v>0</v>
      </c>
      <c r="AB5" s="12">
        <f t="shared" si="26"/>
        <v>0</v>
      </c>
      <c r="AC5" s="15" t="b">
        <f>IF(OR(A5="",B5=""),FALSE,SubscribeQuotes(A5,B5))</f>
        <v>0</v>
      </c>
      <c r="AD5" s="13">
        <f t="shared" si="27"/>
        <v>0</v>
      </c>
    </row>
    <row r="6" spans="1:30">
      <c r="A6" s="9"/>
      <c r="B6" s="9"/>
      <c r="C6" s="10" t="str">
        <f t="shared" si="2"/>
        <v/>
      </c>
      <c r="D6" s="12">
        <f t="shared" si="3"/>
        <v>0</v>
      </c>
      <c r="E6" s="13">
        <f t="shared" si="4"/>
        <v>0</v>
      </c>
      <c r="F6" s="12">
        <f t="shared" si="5"/>
        <v>0</v>
      </c>
      <c r="G6" s="12">
        <f t="shared" si="6"/>
        <v>0</v>
      </c>
      <c r="H6" s="12">
        <f t="shared" si="7"/>
        <v>0</v>
      </c>
      <c r="I6" s="13">
        <f t="shared" si="8"/>
        <v>0</v>
      </c>
      <c r="J6" s="12">
        <f t="shared" si="9"/>
        <v>0</v>
      </c>
      <c r="K6" s="13">
        <f t="shared" si="10"/>
        <v>0</v>
      </c>
      <c r="L6" s="12">
        <f t="shared" si="11"/>
        <v>0</v>
      </c>
      <c r="M6" s="13">
        <f t="shared" si="12"/>
        <v>0</v>
      </c>
      <c r="N6" s="12">
        <f t="shared" si="13"/>
        <v>0</v>
      </c>
      <c r="O6" s="13">
        <f t="shared" si="14"/>
        <v>0</v>
      </c>
      <c r="P6" s="13">
        <f t="shared" si="15"/>
        <v>0</v>
      </c>
      <c r="Q6" s="13">
        <f t="shared" si="16"/>
        <v>0</v>
      </c>
      <c r="R6" s="12">
        <f t="shared" si="17"/>
        <v>0</v>
      </c>
      <c r="S6" s="12">
        <f t="shared" si="18"/>
        <v>0</v>
      </c>
      <c r="T6" s="12">
        <f t="shared" si="19"/>
        <v>0</v>
      </c>
      <c r="U6" s="12">
        <f t="shared" si="20"/>
        <v>0</v>
      </c>
      <c r="V6" s="13">
        <f t="shared" si="21"/>
        <v>0</v>
      </c>
      <c r="W6" s="12">
        <f t="shared" si="22"/>
        <v>0</v>
      </c>
      <c r="X6" s="12">
        <f t="shared" si="0"/>
        <v>0</v>
      </c>
      <c r="Y6" s="12">
        <f t="shared" si="23"/>
        <v>0</v>
      </c>
      <c r="Z6" s="12">
        <f t="shared" si="24"/>
        <v>0</v>
      </c>
      <c r="AA6" s="14">
        <f t="shared" si="25"/>
        <v>0</v>
      </c>
      <c r="AB6" s="12">
        <f t="shared" si="26"/>
        <v>0</v>
      </c>
      <c r="AC6" s="15" t="b">
        <f>IF(OR(A6="",B6=""),FALSE,SubscribeQuotes(A6,B6))</f>
        <v>0</v>
      </c>
      <c r="AD6" s="13">
        <f t="shared" si="27"/>
        <v>0</v>
      </c>
    </row>
    <row r="7" spans="1:30">
      <c r="A7" s="9"/>
      <c r="B7" s="9"/>
      <c r="C7" s="10" t="str">
        <f t="shared" si="2"/>
        <v/>
      </c>
      <c r="D7" s="12">
        <f t="shared" si="3"/>
        <v>0</v>
      </c>
      <c r="E7" s="13">
        <f t="shared" si="4"/>
        <v>0</v>
      </c>
      <c r="F7" s="12">
        <f t="shared" si="5"/>
        <v>0</v>
      </c>
      <c r="G7" s="12">
        <f t="shared" si="6"/>
        <v>0</v>
      </c>
      <c r="H7" s="12">
        <f t="shared" si="7"/>
        <v>0</v>
      </c>
      <c r="I7" s="13">
        <f t="shared" si="8"/>
        <v>0</v>
      </c>
      <c r="J7" s="12">
        <f t="shared" si="9"/>
        <v>0</v>
      </c>
      <c r="K7" s="13">
        <f t="shared" si="10"/>
        <v>0</v>
      </c>
      <c r="L7" s="12">
        <f t="shared" si="11"/>
        <v>0</v>
      </c>
      <c r="M7" s="13">
        <f t="shared" si="12"/>
        <v>0</v>
      </c>
      <c r="N7" s="12">
        <f t="shared" si="13"/>
        <v>0</v>
      </c>
      <c r="O7" s="13">
        <f t="shared" si="14"/>
        <v>0</v>
      </c>
      <c r="P7" s="13">
        <f t="shared" si="15"/>
        <v>0</v>
      </c>
      <c r="Q7" s="13">
        <f t="shared" si="16"/>
        <v>0</v>
      </c>
      <c r="R7" s="12">
        <f t="shared" si="17"/>
        <v>0</v>
      </c>
      <c r="S7" s="12">
        <f t="shared" si="18"/>
        <v>0</v>
      </c>
      <c r="T7" s="12">
        <f t="shared" si="19"/>
        <v>0</v>
      </c>
      <c r="U7" s="12">
        <f t="shared" si="20"/>
        <v>0</v>
      </c>
      <c r="V7" s="13">
        <f t="shared" si="21"/>
        <v>0</v>
      </c>
      <c r="W7" s="12">
        <f t="shared" si="22"/>
        <v>0</v>
      </c>
      <c r="X7" s="12">
        <f t="shared" si="0"/>
        <v>0</v>
      </c>
      <c r="Y7" s="12">
        <f t="shared" si="23"/>
        <v>0</v>
      </c>
      <c r="Z7" s="12">
        <f t="shared" si="24"/>
        <v>0</v>
      </c>
      <c r="AA7" s="14">
        <f t="shared" si="25"/>
        <v>0</v>
      </c>
      <c r="AB7" s="12">
        <f t="shared" si="26"/>
        <v>0</v>
      </c>
      <c r="AC7" s="15" t="b">
        <f>IF(OR(A7="",B7=""),FALSE,SubscribeQuotes(A7,B7))</f>
        <v>0</v>
      </c>
      <c r="AD7" s="13">
        <f t="shared" si="27"/>
        <v>0</v>
      </c>
    </row>
    <row r="8" spans="1:30">
      <c r="A8" s="9"/>
      <c r="B8" s="9"/>
      <c r="C8" s="10" t="str">
        <f t="shared" si="2"/>
        <v/>
      </c>
      <c r="D8" s="12">
        <f t="shared" si="3"/>
        <v>0</v>
      </c>
      <c r="E8" s="13">
        <f t="shared" si="4"/>
        <v>0</v>
      </c>
      <c r="F8" s="12">
        <f t="shared" si="5"/>
        <v>0</v>
      </c>
      <c r="G8" s="12">
        <f t="shared" si="6"/>
        <v>0</v>
      </c>
      <c r="H8" s="12">
        <f t="shared" si="7"/>
        <v>0</v>
      </c>
      <c r="I8" s="13">
        <f t="shared" si="8"/>
        <v>0</v>
      </c>
      <c r="J8" s="12">
        <f t="shared" si="9"/>
        <v>0</v>
      </c>
      <c r="K8" s="13">
        <f t="shared" si="10"/>
        <v>0</v>
      </c>
      <c r="L8" s="12">
        <f t="shared" si="11"/>
        <v>0</v>
      </c>
      <c r="M8" s="13">
        <f t="shared" si="12"/>
        <v>0</v>
      </c>
      <c r="N8" s="12">
        <f t="shared" si="13"/>
        <v>0</v>
      </c>
      <c r="O8" s="13">
        <f t="shared" si="14"/>
        <v>0</v>
      </c>
      <c r="P8" s="13">
        <f t="shared" si="15"/>
        <v>0</v>
      </c>
      <c r="Q8" s="13">
        <f t="shared" si="16"/>
        <v>0</v>
      </c>
      <c r="R8" s="12">
        <f t="shared" si="17"/>
        <v>0</v>
      </c>
      <c r="S8" s="12">
        <f t="shared" si="18"/>
        <v>0</v>
      </c>
      <c r="T8" s="12">
        <f t="shared" si="19"/>
        <v>0</v>
      </c>
      <c r="U8" s="12">
        <f t="shared" si="20"/>
        <v>0</v>
      </c>
      <c r="V8" s="13">
        <f t="shared" si="21"/>
        <v>0</v>
      </c>
      <c r="W8" s="12">
        <f t="shared" si="22"/>
        <v>0</v>
      </c>
      <c r="X8" s="12">
        <f t="shared" si="0"/>
        <v>0</v>
      </c>
      <c r="Y8" s="12">
        <f t="shared" si="23"/>
        <v>0</v>
      </c>
      <c r="Z8" s="12">
        <f t="shared" si="24"/>
        <v>0</v>
      </c>
      <c r="AA8" s="14">
        <f t="shared" si="25"/>
        <v>0</v>
      </c>
      <c r="AB8" s="12">
        <f t="shared" si="26"/>
        <v>0</v>
      </c>
      <c r="AC8" s="15" t="b">
        <f>IF(OR(A8="",B8=""),FALSE,SubscribeQuotes(A8,B8))</f>
        <v>0</v>
      </c>
      <c r="AD8" s="13">
        <f t="shared" si="27"/>
        <v>0</v>
      </c>
    </row>
    <row r="9" spans="1:30">
      <c r="A9" s="9"/>
      <c r="B9" s="9"/>
      <c r="C9" s="10" t="str">
        <f t="shared" si="2"/>
        <v/>
      </c>
      <c r="D9" s="12">
        <f t="shared" si="3"/>
        <v>0</v>
      </c>
      <c r="E9" s="13">
        <f t="shared" si="4"/>
        <v>0</v>
      </c>
      <c r="F9" s="12">
        <f t="shared" si="5"/>
        <v>0</v>
      </c>
      <c r="G9" s="12">
        <f t="shared" si="6"/>
        <v>0</v>
      </c>
      <c r="H9" s="12">
        <f t="shared" si="7"/>
        <v>0</v>
      </c>
      <c r="I9" s="13">
        <f t="shared" si="8"/>
        <v>0</v>
      </c>
      <c r="J9" s="12">
        <f t="shared" si="9"/>
        <v>0</v>
      </c>
      <c r="K9" s="13">
        <f t="shared" si="10"/>
        <v>0</v>
      </c>
      <c r="L9" s="12">
        <f t="shared" si="11"/>
        <v>0</v>
      </c>
      <c r="M9" s="13">
        <f t="shared" si="12"/>
        <v>0</v>
      </c>
      <c r="N9" s="12">
        <f t="shared" si="13"/>
        <v>0</v>
      </c>
      <c r="O9" s="13">
        <f t="shared" si="14"/>
        <v>0</v>
      </c>
      <c r="P9" s="13">
        <f t="shared" si="15"/>
        <v>0</v>
      </c>
      <c r="Q9" s="13">
        <f t="shared" si="16"/>
        <v>0</v>
      </c>
      <c r="R9" s="12">
        <f t="shared" si="17"/>
        <v>0</v>
      </c>
      <c r="S9" s="12">
        <f t="shared" si="18"/>
        <v>0</v>
      </c>
      <c r="T9" s="12">
        <f t="shared" si="19"/>
        <v>0</v>
      </c>
      <c r="U9" s="12">
        <f t="shared" si="20"/>
        <v>0</v>
      </c>
      <c r="V9" s="13">
        <f t="shared" si="21"/>
        <v>0</v>
      </c>
      <c r="W9" s="12">
        <f t="shared" si="22"/>
        <v>0</v>
      </c>
      <c r="X9" s="12">
        <f t="shared" si="0"/>
        <v>0</v>
      </c>
      <c r="Y9" s="12">
        <f t="shared" si="23"/>
        <v>0</v>
      </c>
      <c r="Z9" s="12">
        <f t="shared" si="24"/>
        <v>0</v>
      </c>
      <c r="AA9" s="14">
        <f t="shared" si="25"/>
        <v>0</v>
      </c>
      <c r="AB9" s="12">
        <f t="shared" si="26"/>
        <v>0</v>
      </c>
      <c r="AC9" s="15" t="b">
        <f>IF(OR(A9="",B9=""),FALSE,SubscribeQuotes(A9,B9))</f>
        <v>0</v>
      </c>
      <c r="AD9" s="13">
        <f t="shared" si="27"/>
        <v>0</v>
      </c>
    </row>
    <row r="10" spans="1:30">
      <c r="A10" s="9"/>
      <c r="B10" s="9"/>
      <c r="C10" s="10" t="str">
        <f t="shared" si="2"/>
        <v/>
      </c>
      <c r="D10" s="12">
        <f t="shared" si="3"/>
        <v>0</v>
      </c>
      <c r="E10" s="13">
        <f t="shared" si="4"/>
        <v>0</v>
      </c>
      <c r="F10" s="12">
        <f t="shared" si="5"/>
        <v>0</v>
      </c>
      <c r="G10" s="12">
        <f t="shared" si="6"/>
        <v>0</v>
      </c>
      <c r="H10" s="12">
        <f t="shared" si="7"/>
        <v>0</v>
      </c>
      <c r="I10" s="13">
        <f t="shared" si="8"/>
        <v>0</v>
      </c>
      <c r="J10" s="12">
        <f t="shared" si="9"/>
        <v>0</v>
      </c>
      <c r="K10" s="13">
        <f t="shared" si="10"/>
        <v>0</v>
      </c>
      <c r="L10" s="12">
        <f t="shared" si="11"/>
        <v>0</v>
      </c>
      <c r="M10" s="13">
        <f t="shared" si="12"/>
        <v>0</v>
      </c>
      <c r="N10" s="12">
        <f t="shared" si="13"/>
        <v>0</v>
      </c>
      <c r="O10" s="13">
        <f t="shared" si="14"/>
        <v>0</v>
      </c>
      <c r="P10" s="13">
        <f t="shared" si="15"/>
        <v>0</v>
      </c>
      <c r="Q10" s="13">
        <f t="shared" si="16"/>
        <v>0</v>
      </c>
      <c r="R10" s="12">
        <f t="shared" si="17"/>
        <v>0</v>
      </c>
      <c r="S10" s="12">
        <f t="shared" si="18"/>
        <v>0</v>
      </c>
      <c r="T10" s="12">
        <f t="shared" si="19"/>
        <v>0</v>
      </c>
      <c r="U10" s="12">
        <f t="shared" si="20"/>
        <v>0</v>
      </c>
      <c r="V10" s="13">
        <f t="shared" si="21"/>
        <v>0</v>
      </c>
      <c r="W10" s="12">
        <f t="shared" si="22"/>
        <v>0</v>
      </c>
      <c r="X10" s="12">
        <f t="shared" si="0"/>
        <v>0</v>
      </c>
      <c r="Y10" s="12">
        <f t="shared" si="23"/>
        <v>0</v>
      </c>
      <c r="Z10" s="12">
        <f t="shared" si="24"/>
        <v>0</v>
      </c>
      <c r="AA10" s="14">
        <f t="shared" si="25"/>
        <v>0</v>
      </c>
      <c r="AB10" s="12">
        <f t="shared" si="26"/>
        <v>0</v>
      </c>
      <c r="AC10" s="15" t="b">
        <f>IF(OR(A10="",B10=""),FALSE,SubscribeQuotes(A10,B10))</f>
        <v>0</v>
      </c>
      <c r="AD10" s="13">
        <f t="shared" si="27"/>
        <v>0</v>
      </c>
    </row>
    <row r="11" spans="1:30">
      <c r="A11" s="9"/>
      <c r="B11" s="9"/>
      <c r="C11" s="10" t="str">
        <f t="shared" si="2"/>
        <v/>
      </c>
      <c r="D11" s="12">
        <f t="shared" si="3"/>
        <v>0</v>
      </c>
      <c r="E11" s="13">
        <f t="shared" si="4"/>
        <v>0</v>
      </c>
      <c r="F11" s="12">
        <f t="shared" si="5"/>
        <v>0</v>
      </c>
      <c r="G11" s="12">
        <f t="shared" si="6"/>
        <v>0</v>
      </c>
      <c r="H11" s="12">
        <f t="shared" si="7"/>
        <v>0</v>
      </c>
      <c r="I11" s="13">
        <f t="shared" si="8"/>
        <v>0</v>
      </c>
      <c r="J11" s="12">
        <f t="shared" si="9"/>
        <v>0</v>
      </c>
      <c r="K11" s="13">
        <f t="shared" si="10"/>
        <v>0</v>
      </c>
      <c r="L11" s="12">
        <f t="shared" si="11"/>
        <v>0</v>
      </c>
      <c r="M11" s="13">
        <f t="shared" si="12"/>
        <v>0</v>
      </c>
      <c r="N11" s="12">
        <f t="shared" si="13"/>
        <v>0</v>
      </c>
      <c r="O11" s="13">
        <f t="shared" si="14"/>
        <v>0</v>
      </c>
      <c r="P11" s="13">
        <f t="shared" si="15"/>
        <v>0</v>
      </c>
      <c r="Q11" s="13">
        <f t="shared" si="16"/>
        <v>0</v>
      </c>
      <c r="R11" s="12">
        <f t="shared" si="17"/>
        <v>0</v>
      </c>
      <c r="S11" s="12">
        <f t="shared" si="18"/>
        <v>0</v>
      </c>
      <c r="T11" s="12">
        <f t="shared" si="19"/>
        <v>0</v>
      </c>
      <c r="U11" s="12">
        <f t="shared" si="20"/>
        <v>0</v>
      </c>
      <c r="V11" s="13">
        <f t="shared" si="21"/>
        <v>0</v>
      </c>
      <c r="W11" s="12">
        <f t="shared" si="22"/>
        <v>0</v>
      </c>
      <c r="X11" s="12">
        <f t="shared" si="0"/>
        <v>0</v>
      </c>
      <c r="Y11" s="12">
        <f t="shared" si="23"/>
        <v>0</v>
      </c>
      <c r="Z11" s="12">
        <f t="shared" si="24"/>
        <v>0</v>
      </c>
      <c r="AA11" s="14">
        <f t="shared" si="25"/>
        <v>0</v>
      </c>
      <c r="AB11" s="12">
        <f t="shared" si="26"/>
        <v>0</v>
      </c>
      <c r="AC11" s="15" t="b">
        <f>IF(OR(A11="",B11=""),FALSE,SubscribeQuotes(A11,B11))</f>
        <v>0</v>
      </c>
      <c r="AD11" s="13">
        <f t="shared" si="27"/>
        <v>0</v>
      </c>
    </row>
    <row r="12" spans="1:30">
      <c r="A12" s="9"/>
      <c r="B12" s="9"/>
      <c r="C12" s="10" t="str">
        <f t="shared" si="2"/>
        <v/>
      </c>
      <c r="D12" s="12">
        <f t="shared" si="3"/>
        <v>0</v>
      </c>
      <c r="E12" s="13">
        <f t="shared" si="4"/>
        <v>0</v>
      </c>
      <c r="F12" s="12">
        <f t="shared" si="5"/>
        <v>0</v>
      </c>
      <c r="G12" s="12">
        <f t="shared" si="6"/>
        <v>0</v>
      </c>
      <c r="H12" s="12">
        <f t="shared" si="7"/>
        <v>0</v>
      </c>
      <c r="I12" s="13">
        <f t="shared" si="8"/>
        <v>0</v>
      </c>
      <c r="J12" s="12">
        <f t="shared" si="9"/>
        <v>0</v>
      </c>
      <c r="K12" s="13">
        <f t="shared" si="10"/>
        <v>0</v>
      </c>
      <c r="L12" s="12">
        <f t="shared" si="11"/>
        <v>0</v>
      </c>
      <c r="M12" s="13">
        <f t="shared" si="12"/>
        <v>0</v>
      </c>
      <c r="N12" s="12">
        <f t="shared" si="13"/>
        <v>0</v>
      </c>
      <c r="O12" s="13">
        <f t="shared" si="14"/>
        <v>0</v>
      </c>
      <c r="P12" s="13">
        <f t="shared" si="15"/>
        <v>0</v>
      </c>
      <c r="Q12" s="13">
        <f t="shared" si="16"/>
        <v>0</v>
      </c>
      <c r="R12" s="12">
        <f t="shared" si="17"/>
        <v>0</v>
      </c>
      <c r="S12" s="12">
        <f t="shared" si="18"/>
        <v>0</v>
      </c>
      <c r="T12" s="12">
        <f t="shared" si="19"/>
        <v>0</v>
      </c>
      <c r="U12" s="12">
        <f t="shared" si="20"/>
        <v>0</v>
      </c>
      <c r="V12" s="13">
        <f t="shared" si="21"/>
        <v>0</v>
      </c>
      <c r="W12" s="12">
        <f t="shared" si="22"/>
        <v>0</v>
      </c>
      <c r="X12" s="12">
        <f t="shared" si="0"/>
        <v>0</v>
      </c>
      <c r="Y12" s="12">
        <f t="shared" si="23"/>
        <v>0</v>
      </c>
      <c r="Z12" s="12">
        <f t="shared" si="24"/>
        <v>0</v>
      </c>
      <c r="AA12" s="14">
        <f t="shared" si="25"/>
        <v>0</v>
      </c>
      <c r="AB12" s="12">
        <f t="shared" si="26"/>
        <v>0</v>
      </c>
      <c r="AC12" s="15" t="b">
        <f>IF(OR(A12="",B12=""),FALSE,SubscribeQuotes(A12,B12))</f>
        <v>0</v>
      </c>
      <c r="AD12" s="13">
        <f t="shared" si="27"/>
        <v>0</v>
      </c>
    </row>
    <row r="13" spans="1:30">
      <c r="A13" s="9"/>
      <c r="B13" s="9"/>
      <c r="C13" s="10" t="str">
        <f t="shared" si="2"/>
        <v/>
      </c>
      <c r="D13" s="12">
        <f t="shared" si="3"/>
        <v>0</v>
      </c>
      <c r="E13" s="13">
        <f t="shared" si="4"/>
        <v>0</v>
      </c>
      <c r="F13" s="12">
        <f t="shared" si="5"/>
        <v>0</v>
      </c>
      <c r="G13" s="12">
        <f t="shared" si="6"/>
        <v>0</v>
      </c>
      <c r="H13" s="12">
        <f t="shared" si="7"/>
        <v>0</v>
      </c>
      <c r="I13" s="13">
        <f t="shared" si="8"/>
        <v>0</v>
      </c>
      <c r="J13" s="12">
        <f t="shared" si="9"/>
        <v>0</v>
      </c>
      <c r="K13" s="13">
        <f t="shared" si="10"/>
        <v>0</v>
      </c>
      <c r="L13" s="12">
        <f t="shared" si="11"/>
        <v>0</v>
      </c>
      <c r="M13" s="13">
        <f t="shared" si="12"/>
        <v>0</v>
      </c>
      <c r="N13" s="12">
        <f t="shared" si="13"/>
        <v>0</v>
      </c>
      <c r="O13" s="13">
        <f t="shared" si="14"/>
        <v>0</v>
      </c>
      <c r="P13" s="13">
        <f t="shared" si="15"/>
        <v>0</v>
      </c>
      <c r="Q13" s="13">
        <f t="shared" si="16"/>
        <v>0</v>
      </c>
      <c r="R13" s="12">
        <f t="shared" si="17"/>
        <v>0</v>
      </c>
      <c r="S13" s="12">
        <f t="shared" si="18"/>
        <v>0</v>
      </c>
      <c r="T13" s="12">
        <f t="shared" si="19"/>
        <v>0</v>
      </c>
      <c r="U13" s="12">
        <f t="shared" si="20"/>
        <v>0</v>
      </c>
      <c r="V13" s="13">
        <f t="shared" si="21"/>
        <v>0</v>
      </c>
      <c r="W13" s="12">
        <f t="shared" si="22"/>
        <v>0</v>
      </c>
      <c r="X13" s="12">
        <f t="shared" si="0"/>
        <v>0</v>
      </c>
      <c r="Y13" s="12">
        <f t="shared" si="23"/>
        <v>0</v>
      </c>
      <c r="Z13" s="12">
        <f t="shared" si="24"/>
        <v>0</v>
      </c>
      <c r="AA13" s="14">
        <f t="shared" si="25"/>
        <v>0</v>
      </c>
      <c r="AB13" s="12">
        <f t="shared" si="26"/>
        <v>0</v>
      </c>
      <c r="AC13" s="15" t="b">
        <f>IF(OR(A13="",B13=""),FALSE,SubscribeQuotes(A13,B13))</f>
        <v>0</v>
      </c>
      <c r="AD13" s="13">
        <f t="shared" si="27"/>
        <v>0</v>
      </c>
    </row>
    <row r="14" spans="1:30">
      <c r="A14" s="9"/>
      <c r="B14" s="9"/>
      <c r="C14" s="10" t="str">
        <f t="shared" si="2"/>
        <v/>
      </c>
      <c r="D14" s="12">
        <f t="shared" si="3"/>
        <v>0</v>
      </c>
      <c r="E14" s="13">
        <f t="shared" si="4"/>
        <v>0</v>
      </c>
      <c r="F14" s="12">
        <f t="shared" si="5"/>
        <v>0</v>
      </c>
      <c r="G14" s="12">
        <f t="shared" si="6"/>
        <v>0</v>
      </c>
      <c r="H14" s="12">
        <f t="shared" si="7"/>
        <v>0</v>
      </c>
      <c r="I14" s="13">
        <f t="shared" si="8"/>
        <v>0</v>
      </c>
      <c r="J14" s="12">
        <f t="shared" si="9"/>
        <v>0</v>
      </c>
      <c r="K14" s="13">
        <f t="shared" si="10"/>
        <v>0</v>
      </c>
      <c r="L14" s="12">
        <f t="shared" si="11"/>
        <v>0</v>
      </c>
      <c r="M14" s="13">
        <f t="shared" si="12"/>
        <v>0</v>
      </c>
      <c r="N14" s="12">
        <f t="shared" si="13"/>
        <v>0</v>
      </c>
      <c r="O14" s="13">
        <f t="shared" si="14"/>
        <v>0</v>
      </c>
      <c r="P14" s="13">
        <f t="shared" si="15"/>
        <v>0</v>
      </c>
      <c r="Q14" s="13">
        <f t="shared" si="16"/>
        <v>0</v>
      </c>
      <c r="R14" s="12">
        <f t="shared" si="17"/>
        <v>0</v>
      </c>
      <c r="S14" s="12">
        <f t="shared" si="18"/>
        <v>0</v>
      </c>
      <c r="T14" s="12">
        <f t="shared" si="19"/>
        <v>0</v>
      </c>
      <c r="U14" s="12">
        <f t="shared" si="20"/>
        <v>0</v>
      </c>
      <c r="V14" s="13">
        <f t="shared" si="21"/>
        <v>0</v>
      </c>
      <c r="W14" s="12">
        <f t="shared" si="22"/>
        <v>0</v>
      </c>
      <c r="X14" s="12">
        <f t="shared" si="0"/>
        <v>0</v>
      </c>
      <c r="Y14" s="12">
        <f t="shared" si="23"/>
        <v>0</v>
      </c>
      <c r="Z14" s="12">
        <f t="shared" si="24"/>
        <v>0</v>
      </c>
      <c r="AA14" s="14">
        <f t="shared" si="25"/>
        <v>0</v>
      </c>
      <c r="AB14" s="12">
        <f t="shared" si="26"/>
        <v>0</v>
      </c>
      <c r="AC14" s="15" t="b">
        <f>IF(OR(A14="",B14=""),FALSE,SubscribeQuotes(A14,B14))</f>
        <v>0</v>
      </c>
      <c r="AD14" s="13">
        <f t="shared" si="27"/>
        <v>0</v>
      </c>
    </row>
    <row r="15" spans="1:30">
      <c r="A15" s="9"/>
      <c r="B15" s="9"/>
      <c r="C15" s="10" t="str">
        <f t="shared" si="2"/>
        <v/>
      </c>
      <c r="D15" s="12">
        <f t="shared" si="3"/>
        <v>0</v>
      </c>
      <c r="E15" s="13">
        <f t="shared" si="4"/>
        <v>0</v>
      </c>
      <c r="F15" s="12">
        <f t="shared" si="5"/>
        <v>0</v>
      </c>
      <c r="G15" s="12">
        <f t="shared" si="6"/>
        <v>0</v>
      </c>
      <c r="H15" s="12">
        <f t="shared" si="7"/>
        <v>0</v>
      </c>
      <c r="I15" s="13">
        <f t="shared" si="8"/>
        <v>0</v>
      </c>
      <c r="J15" s="12">
        <f t="shared" si="9"/>
        <v>0</v>
      </c>
      <c r="K15" s="13">
        <f t="shared" si="10"/>
        <v>0</v>
      </c>
      <c r="L15" s="12">
        <f t="shared" si="11"/>
        <v>0</v>
      </c>
      <c r="M15" s="13">
        <f t="shared" si="12"/>
        <v>0</v>
      </c>
      <c r="N15" s="12">
        <f t="shared" si="13"/>
        <v>0</v>
      </c>
      <c r="O15" s="13">
        <f t="shared" si="14"/>
        <v>0</v>
      </c>
      <c r="P15" s="13">
        <f t="shared" si="15"/>
        <v>0</v>
      </c>
      <c r="Q15" s="13">
        <f t="shared" si="16"/>
        <v>0</v>
      </c>
      <c r="R15" s="12">
        <f t="shared" si="17"/>
        <v>0</v>
      </c>
      <c r="S15" s="12">
        <f t="shared" si="18"/>
        <v>0</v>
      </c>
      <c r="T15" s="12">
        <f t="shared" si="19"/>
        <v>0</v>
      </c>
      <c r="U15" s="12">
        <f t="shared" si="20"/>
        <v>0</v>
      </c>
      <c r="V15" s="13">
        <f t="shared" si="21"/>
        <v>0</v>
      </c>
      <c r="W15" s="12">
        <f t="shared" si="22"/>
        <v>0</v>
      </c>
      <c r="X15" s="12">
        <f t="shared" si="0"/>
        <v>0</v>
      </c>
      <c r="Y15" s="12">
        <f t="shared" si="23"/>
        <v>0</v>
      </c>
      <c r="Z15" s="12">
        <f t="shared" si="24"/>
        <v>0</v>
      </c>
      <c r="AA15" s="14">
        <f t="shared" si="25"/>
        <v>0</v>
      </c>
      <c r="AB15" s="12">
        <f t="shared" si="26"/>
        <v>0</v>
      </c>
      <c r="AC15" s="15" t="b">
        <f>IF(OR(A15="",B15=""),FALSE,SubscribeQuotes(A15,B15))</f>
        <v>0</v>
      </c>
      <c r="AD15" s="13">
        <f t="shared" si="27"/>
        <v>0</v>
      </c>
    </row>
    <row r="16" spans="1:30">
      <c r="A16" s="9"/>
      <c r="B16" s="9"/>
      <c r="C16" s="10" t="str">
        <f t="shared" si="2"/>
        <v/>
      </c>
      <c r="D16" s="12">
        <f t="shared" si="3"/>
        <v>0</v>
      </c>
      <c r="E16" s="13">
        <f t="shared" si="4"/>
        <v>0</v>
      </c>
      <c r="F16" s="12">
        <f t="shared" si="5"/>
        <v>0</v>
      </c>
      <c r="G16" s="12">
        <f t="shared" si="6"/>
        <v>0</v>
      </c>
      <c r="H16" s="12">
        <f t="shared" si="7"/>
        <v>0</v>
      </c>
      <c r="I16" s="13">
        <f t="shared" si="8"/>
        <v>0</v>
      </c>
      <c r="J16" s="12">
        <f t="shared" si="9"/>
        <v>0</v>
      </c>
      <c r="K16" s="13">
        <f t="shared" si="10"/>
        <v>0</v>
      </c>
      <c r="L16" s="12">
        <f t="shared" si="11"/>
        <v>0</v>
      </c>
      <c r="M16" s="13">
        <f t="shared" si="12"/>
        <v>0</v>
      </c>
      <c r="N16" s="12">
        <f t="shared" si="13"/>
        <v>0</v>
      </c>
      <c r="O16" s="13">
        <f t="shared" si="14"/>
        <v>0</v>
      </c>
      <c r="P16" s="13">
        <f t="shared" si="15"/>
        <v>0</v>
      </c>
      <c r="Q16" s="13">
        <f t="shared" si="16"/>
        <v>0</v>
      </c>
      <c r="R16" s="12">
        <f t="shared" si="17"/>
        <v>0</v>
      </c>
      <c r="S16" s="12">
        <f t="shared" si="18"/>
        <v>0</v>
      </c>
      <c r="T16" s="12">
        <f t="shared" si="19"/>
        <v>0</v>
      </c>
      <c r="U16" s="12">
        <f t="shared" si="20"/>
        <v>0</v>
      </c>
      <c r="V16" s="13">
        <f t="shared" si="21"/>
        <v>0</v>
      </c>
      <c r="W16" s="12">
        <f t="shared" si="22"/>
        <v>0</v>
      </c>
      <c r="X16" s="12">
        <f t="shared" si="0"/>
        <v>0</v>
      </c>
      <c r="Y16" s="12">
        <f t="shared" si="23"/>
        <v>0</v>
      </c>
      <c r="Z16" s="12">
        <f t="shared" si="24"/>
        <v>0</v>
      </c>
      <c r="AA16" s="14">
        <f t="shared" si="25"/>
        <v>0</v>
      </c>
      <c r="AB16" s="12">
        <f t="shared" si="26"/>
        <v>0</v>
      </c>
      <c r="AC16" s="15" t="b">
        <f>IF(OR(A16="",B16=""),FALSE,SubscribeQuotes(A16,B16))</f>
        <v>0</v>
      </c>
      <c r="AD16" s="13">
        <f t="shared" si="27"/>
        <v>0</v>
      </c>
    </row>
    <row r="17" spans="1:30">
      <c r="A17" s="9"/>
      <c r="B17" s="9"/>
      <c r="C17" s="10" t="str">
        <f t="shared" si="2"/>
        <v/>
      </c>
      <c r="D17" s="12">
        <f t="shared" si="3"/>
        <v>0</v>
      </c>
      <c r="E17" s="13">
        <f t="shared" si="4"/>
        <v>0</v>
      </c>
      <c r="F17" s="12">
        <f t="shared" si="5"/>
        <v>0</v>
      </c>
      <c r="G17" s="12">
        <f t="shared" si="6"/>
        <v>0</v>
      </c>
      <c r="H17" s="12">
        <f t="shared" si="7"/>
        <v>0</v>
      </c>
      <c r="I17" s="13">
        <f t="shared" si="8"/>
        <v>0</v>
      </c>
      <c r="J17" s="12">
        <f t="shared" si="9"/>
        <v>0</v>
      </c>
      <c r="K17" s="13">
        <f t="shared" si="10"/>
        <v>0</v>
      </c>
      <c r="L17" s="12">
        <f t="shared" si="11"/>
        <v>0</v>
      </c>
      <c r="M17" s="13">
        <f t="shared" si="12"/>
        <v>0</v>
      </c>
      <c r="N17" s="12">
        <f t="shared" si="13"/>
        <v>0</v>
      </c>
      <c r="O17" s="13">
        <f t="shared" si="14"/>
        <v>0</v>
      </c>
      <c r="P17" s="13">
        <f t="shared" si="15"/>
        <v>0</v>
      </c>
      <c r="Q17" s="13">
        <f t="shared" si="16"/>
        <v>0</v>
      </c>
      <c r="R17" s="12">
        <f t="shared" si="17"/>
        <v>0</v>
      </c>
      <c r="S17" s="12">
        <f t="shared" si="18"/>
        <v>0</v>
      </c>
      <c r="T17" s="12">
        <f t="shared" si="19"/>
        <v>0</v>
      </c>
      <c r="U17" s="12">
        <f t="shared" si="20"/>
        <v>0</v>
      </c>
      <c r="V17" s="13">
        <f t="shared" si="21"/>
        <v>0</v>
      </c>
      <c r="W17" s="12">
        <f t="shared" si="22"/>
        <v>0</v>
      </c>
      <c r="X17" s="12">
        <f t="shared" si="0"/>
        <v>0</v>
      </c>
      <c r="Y17" s="12">
        <f t="shared" si="23"/>
        <v>0</v>
      </c>
      <c r="Z17" s="12">
        <f t="shared" si="24"/>
        <v>0</v>
      </c>
      <c r="AA17" s="14">
        <f t="shared" si="25"/>
        <v>0</v>
      </c>
      <c r="AB17" s="12">
        <f t="shared" si="26"/>
        <v>0</v>
      </c>
      <c r="AC17" s="15" t="b">
        <f>IF(OR(A17="",B17=""),FALSE,SubscribeQuotes(A17,B17))</f>
        <v>0</v>
      </c>
      <c r="AD17" s="13">
        <f t="shared" si="27"/>
        <v>0</v>
      </c>
    </row>
    <row r="18" spans="1:30">
      <c r="A18" s="9"/>
      <c r="B18" s="9"/>
      <c r="C18" s="10" t="str">
        <f t="shared" si="2"/>
        <v/>
      </c>
      <c r="D18" s="12">
        <f t="shared" si="3"/>
        <v>0</v>
      </c>
      <c r="E18" s="13">
        <f t="shared" si="4"/>
        <v>0</v>
      </c>
      <c r="F18" s="12">
        <f t="shared" si="5"/>
        <v>0</v>
      </c>
      <c r="G18" s="12">
        <f t="shared" si="6"/>
        <v>0</v>
      </c>
      <c r="H18" s="12">
        <f t="shared" si="7"/>
        <v>0</v>
      </c>
      <c r="I18" s="13">
        <f t="shared" si="8"/>
        <v>0</v>
      </c>
      <c r="J18" s="12">
        <f t="shared" si="9"/>
        <v>0</v>
      </c>
      <c r="K18" s="13">
        <f t="shared" si="10"/>
        <v>0</v>
      </c>
      <c r="L18" s="12">
        <f t="shared" si="11"/>
        <v>0</v>
      </c>
      <c r="M18" s="13">
        <f t="shared" si="12"/>
        <v>0</v>
      </c>
      <c r="N18" s="12">
        <f t="shared" si="13"/>
        <v>0</v>
      </c>
      <c r="O18" s="13">
        <f t="shared" si="14"/>
        <v>0</v>
      </c>
      <c r="P18" s="13">
        <f t="shared" si="15"/>
        <v>0</v>
      </c>
      <c r="Q18" s="13">
        <f t="shared" si="16"/>
        <v>0</v>
      </c>
      <c r="R18" s="12">
        <f t="shared" si="17"/>
        <v>0</v>
      </c>
      <c r="S18" s="12">
        <f t="shared" si="18"/>
        <v>0</v>
      </c>
      <c r="T18" s="12">
        <f t="shared" si="19"/>
        <v>0</v>
      </c>
      <c r="U18" s="12">
        <f t="shared" si="20"/>
        <v>0</v>
      </c>
      <c r="V18" s="13">
        <f t="shared" si="21"/>
        <v>0</v>
      </c>
      <c r="W18" s="12">
        <f t="shared" si="22"/>
        <v>0</v>
      </c>
      <c r="X18" s="12">
        <f t="shared" si="0"/>
        <v>0</v>
      </c>
      <c r="Y18" s="12">
        <f t="shared" si="23"/>
        <v>0</v>
      </c>
      <c r="Z18" s="12">
        <f t="shared" si="24"/>
        <v>0</v>
      </c>
      <c r="AA18" s="14">
        <f t="shared" si="25"/>
        <v>0</v>
      </c>
      <c r="AB18" s="12">
        <f t="shared" si="26"/>
        <v>0</v>
      </c>
      <c r="AC18" s="15" t="b">
        <f>IF(OR(A18="",B18=""),FALSE,SubscribeQuotes(A18,B18))</f>
        <v>0</v>
      </c>
      <c r="AD18" s="13">
        <f t="shared" si="27"/>
        <v>0</v>
      </c>
    </row>
    <row r="19" spans="1:30">
      <c r="A19" s="9"/>
      <c r="B19" s="9"/>
      <c r="C19" s="10" t="str">
        <f t="shared" si="2"/>
        <v/>
      </c>
      <c r="D19" s="12">
        <f t="shared" si="3"/>
        <v>0</v>
      </c>
      <c r="E19" s="13">
        <f t="shared" si="4"/>
        <v>0</v>
      </c>
      <c r="F19" s="12">
        <f t="shared" si="5"/>
        <v>0</v>
      </c>
      <c r="G19" s="12">
        <f t="shared" si="6"/>
        <v>0</v>
      </c>
      <c r="H19" s="12">
        <f t="shared" si="7"/>
        <v>0</v>
      </c>
      <c r="I19" s="13">
        <f t="shared" si="8"/>
        <v>0</v>
      </c>
      <c r="J19" s="12">
        <f t="shared" si="9"/>
        <v>0</v>
      </c>
      <c r="K19" s="13">
        <f t="shared" si="10"/>
        <v>0</v>
      </c>
      <c r="L19" s="12">
        <f t="shared" si="11"/>
        <v>0</v>
      </c>
      <c r="M19" s="13">
        <f t="shared" si="12"/>
        <v>0</v>
      </c>
      <c r="N19" s="12">
        <f t="shared" si="13"/>
        <v>0</v>
      </c>
      <c r="O19" s="13">
        <f t="shared" si="14"/>
        <v>0</v>
      </c>
      <c r="P19" s="13">
        <f t="shared" si="15"/>
        <v>0</v>
      </c>
      <c r="Q19" s="13">
        <f t="shared" si="16"/>
        <v>0</v>
      </c>
      <c r="R19" s="12">
        <f t="shared" si="17"/>
        <v>0</v>
      </c>
      <c r="S19" s="12">
        <f t="shared" si="18"/>
        <v>0</v>
      </c>
      <c r="T19" s="12">
        <f t="shared" si="19"/>
        <v>0</v>
      </c>
      <c r="U19" s="12">
        <f t="shared" si="20"/>
        <v>0</v>
      </c>
      <c r="V19" s="13">
        <f t="shared" si="21"/>
        <v>0</v>
      </c>
      <c r="W19" s="12">
        <f t="shared" si="22"/>
        <v>0</v>
      </c>
      <c r="X19" s="12">
        <f t="shared" si="0"/>
        <v>0</v>
      </c>
      <c r="Y19" s="12">
        <f t="shared" si="23"/>
        <v>0</v>
      </c>
      <c r="Z19" s="12">
        <f t="shared" si="24"/>
        <v>0</v>
      </c>
      <c r="AA19" s="14">
        <f t="shared" si="25"/>
        <v>0</v>
      </c>
      <c r="AB19" s="12">
        <f t="shared" si="26"/>
        <v>0</v>
      </c>
      <c r="AC19" s="15" t="b">
        <f>IF(OR(A19="",B19=""),FALSE,SubscribeQuotes(A19,B19))</f>
        <v>0</v>
      </c>
      <c r="AD19" s="13">
        <f t="shared" si="27"/>
        <v>0</v>
      </c>
    </row>
    <row r="20" spans="1:30">
      <c r="A20" s="9"/>
      <c r="B20" s="9"/>
      <c r="C20" s="10" t="str">
        <f t="shared" si="2"/>
        <v/>
      </c>
      <c r="D20" s="12">
        <f t="shared" si="3"/>
        <v>0</v>
      </c>
      <c r="E20" s="13">
        <f t="shared" si="4"/>
        <v>0</v>
      </c>
      <c r="F20" s="12">
        <f t="shared" si="5"/>
        <v>0</v>
      </c>
      <c r="G20" s="12">
        <f t="shared" si="6"/>
        <v>0</v>
      </c>
      <c r="H20" s="12">
        <f t="shared" si="7"/>
        <v>0</v>
      </c>
      <c r="I20" s="13">
        <f t="shared" si="8"/>
        <v>0</v>
      </c>
      <c r="J20" s="12">
        <f t="shared" si="9"/>
        <v>0</v>
      </c>
      <c r="K20" s="13">
        <f t="shared" si="10"/>
        <v>0</v>
      </c>
      <c r="L20" s="12">
        <f t="shared" si="11"/>
        <v>0</v>
      </c>
      <c r="M20" s="13">
        <f t="shared" si="12"/>
        <v>0</v>
      </c>
      <c r="N20" s="12">
        <f t="shared" si="13"/>
        <v>0</v>
      </c>
      <c r="O20" s="13">
        <f t="shared" si="14"/>
        <v>0</v>
      </c>
      <c r="P20" s="13">
        <f t="shared" si="15"/>
        <v>0</v>
      </c>
      <c r="Q20" s="13">
        <f t="shared" si="16"/>
        <v>0</v>
      </c>
      <c r="R20" s="12">
        <f t="shared" si="17"/>
        <v>0</v>
      </c>
      <c r="S20" s="12">
        <f t="shared" si="18"/>
        <v>0</v>
      </c>
      <c r="T20" s="12">
        <f t="shared" si="19"/>
        <v>0</v>
      </c>
      <c r="U20" s="12">
        <f t="shared" si="20"/>
        <v>0</v>
      </c>
      <c r="V20" s="13">
        <f t="shared" si="21"/>
        <v>0</v>
      </c>
      <c r="W20" s="12">
        <f t="shared" si="22"/>
        <v>0</v>
      </c>
      <c r="X20" s="12">
        <f t="shared" si="0"/>
        <v>0</v>
      </c>
      <c r="Y20" s="12">
        <f t="shared" si="23"/>
        <v>0</v>
      </c>
      <c r="Z20" s="12">
        <f t="shared" si="24"/>
        <v>0</v>
      </c>
      <c r="AA20" s="14">
        <f t="shared" si="25"/>
        <v>0</v>
      </c>
      <c r="AB20" s="12">
        <f t="shared" si="26"/>
        <v>0</v>
      </c>
      <c r="AC20" s="15" t="b">
        <f>IF(OR(A20="",B20=""),FALSE,SubscribeQuotes(A20,B20))</f>
        <v>0</v>
      </c>
      <c r="AD20" s="13">
        <f t="shared" si="27"/>
        <v>0</v>
      </c>
    </row>
    <row r="21" spans="1:30">
      <c r="A21" s="9"/>
      <c r="B21" s="9"/>
      <c r="C21" s="10" t="str">
        <f t="shared" si="2"/>
        <v/>
      </c>
      <c r="D21" s="12">
        <f t="shared" si="3"/>
        <v>0</v>
      </c>
      <c r="E21" s="13">
        <f t="shared" si="4"/>
        <v>0</v>
      </c>
      <c r="F21" s="12">
        <f t="shared" si="5"/>
        <v>0</v>
      </c>
      <c r="G21" s="12">
        <f t="shared" si="6"/>
        <v>0</v>
      </c>
      <c r="H21" s="12">
        <f t="shared" si="7"/>
        <v>0</v>
      </c>
      <c r="I21" s="13">
        <f t="shared" si="8"/>
        <v>0</v>
      </c>
      <c r="J21" s="12">
        <f t="shared" si="9"/>
        <v>0</v>
      </c>
      <c r="K21" s="13">
        <f t="shared" si="10"/>
        <v>0</v>
      </c>
      <c r="L21" s="12">
        <f t="shared" si="11"/>
        <v>0</v>
      </c>
      <c r="M21" s="13">
        <f t="shared" si="12"/>
        <v>0</v>
      </c>
      <c r="N21" s="12">
        <f t="shared" si="13"/>
        <v>0</v>
      </c>
      <c r="O21" s="13">
        <f t="shared" si="14"/>
        <v>0</v>
      </c>
      <c r="P21" s="13">
        <f t="shared" si="15"/>
        <v>0</v>
      </c>
      <c r="Q21" s="13">
        <f t="shared" si="16"/>
        <v>0</v>
      </c>
      <c r="R21" s="12">
        <f t="shared" si="17"/>
        <v>0</v>
      </c>
      <c r="S21" s="12">
        <f t="shared" si="18"/>
        <v>0</v>
      </c>
      <c r="T21" s="12">
        <f t="shared" si="19"/>
        <v>0</v>
      </c>
      <c r="U21" s="12">
        <f t="shared" si="20"/>
        <v>0</v>
      </c>
      <c r="V21" s="13">
        <f t="shared" si="21"/>
        <v>0</v>
      </c>
      <c r="W21" s="12">
        <f t="shared" si="22"/>
        <v>0</v>
      </c>
      <c r="X21" s="12">
        <f t="shared" si="0"/>
        <v>0</v>
      </c>
      <c r="Y21" s="12">
        <f t="shared" si="23"/>
        <v>0</v>
      </c>
      <c r="Z21" s="12">
        <f t="shared" si="24"/>
        <v>0</v>
      </c>
      <c r="AA21" s="14">
        <f t="shared" si="25"/>
        <v>0</v>
      </c>
      <c r="AB21" s="12">
        <f t="shared" si="26"/>
        <v>0</v>
      </c>
      <c r="AC21" s="15" t="b">
        <f>IF(OR(A21="",B21=""),FALSE,SubscribeQuotes(A21,B21))</f>
        <v>0</v>
      </c>
      <c r="AD21" s="13">
        <f t="shared" si="27"/>
        <v>0</v>
      </c>
    </row>
    <row r="22" spans="1:30">
      <c r="A22" s="9"/>
      <c r="B22" s="9"/>
      <c r="C22" s="10" t="str">
        <f t="shared" si="2"/>
        <v/>
      </c>
      <c r="D22" s="12">
        <f t="shared" si="3"/>
        <v>0</v>
      </c>
      <c r="E22" s="13">
        <f t="shared" si="4"/>
        <v>0</v>
      </c>
      <c r="F22" s="12">
        <f t="shared" si="5"/>
        <v>0</v>
      </c>
      <c r="G22" s="12">
        <f t="shared" si="6"/>
        <v>0</v>
      </c>
      <c r="H22" s="12">
        <f t="shared" si="7"/>
        <v>0</v>
      </c>
      <c r="I22" s="13">
        <f t="shared" si="8"/>
        <v>0</v>
      </c>
      <c r="J22" s="12">
        <f t="shared" si="9"/>
        <v>0</v>
      </c>
      <c r="K22" s="13">
        <f t="shared" si="10"/>
        <v>0</v>
      </c>
      <c r="L22" s="12">
        <f t="shared" si="11"/>
        <v>0</v>
      </c>
      <c r="M22" s="13">
        <f t="shared" si="12"/>
        <v>0</v>
      </c>
      <c r="N22" s="12">
        <f t="shared" si="13"/>
        <v>0</v>
      </c>
      <c r="O22" s="13">
        <f t="shared" si="14"/>
        <v>0</v>
      </c>
      <c r="P22" s="13">
        <f t="shared" si="15"/>
        <v>0</v>
      </c>
      <c r="Q22" s="13">
        <f t="shared" si="16"/>
        <v>0</v>
      </c>
      <c r="R22" s="12">
        <f t="shared" si="17"/>
        <v>0</v>
      </c>
      <c r="S22" s="12">
        <f t="shared" si="18"/>
        <v>0</v>
      </c>
      <c r="T22" s="12">
        <f t="shared" si="19"/>
        <v>0</v>
      </c>
      <c r="U22" s="12">
        <f t="shared" si="20"/>
        <v>0</v>
      </c>
      <c r="V22" s="13">
        <f t="shared" si="21"/>
        <v>0</v>
      </c>
      <c r="W22" s="12">
        <f t="shared" si="22"/>
        <v>0</v>
      </c>
      <c r="X22" s="12">
        <f t="shared" si="0"/>
        <v>0</v>
      </c>
      <c r="Y22" s="12">
        <f t="shared" si="23"/>
        <v>0</v>
      </c>
      <c r="Z22" s="12">
        <f t="shared" si="24"/>
        <v>0</v>
      </c>
      <c r="AA22" s="14">
        <f t="shared" si="25"/>
        <v>0</v>
      </c>
      <c r="AB22" s="12">
        <f t="shared" si="26"/>
        <v>0</v>
      </c>
      <c r="AC22" s="15" t="b">
        <f>IF(OR(A22="",B22=""),FALSE,SubscribeQuotes(A22,B22))</f>
        <v>0</v>
      </c>
      <c r="AD22" s="13">
        <f t="shared" si="27"/>
        <v>0</v>
      </c>
    </row>
    <row r="23" spans="1:30">
      <c r="A23" s="9"/>
      <c r="B23" s="9"/>
      <c r="C23" s="10" t="str">
        <f t="shared" si="2"/>
        <v/>
      </c>
      <c r="D23" s="12">
        <f t="shared" si="3"/>
        <v>0</v>
      </c>
      <c r="E23" s="13">
        <f t="shared" si="4"/>
        <v>0</v>
      </c>
      <c r="F23" s="12">
        <f t="shared" si="5"/>
        <v>0</v>
      </c>
      <c r="G23" s="12">
        <f t="shared" si="6"/>
        <v>0</v>
      </c>
      <c r="H23" s="12">
        <f t="shared" si="7"/>
        <v>0</v>
      </c>
      <c r="I23" s="13">
        <f t="shared" si="8"/>
        <v>0</v>
      </c>
      <c r="J23" s="12">
        <f t="shared" si="9"/>
        <v>0</v>
      </c>
      <c r="K23" s="13">
        <f t="shared" si="10"/>
        <v>0</v>
      </c>
      <c r="L23" s="12">
        <f t="shared" si="11"/>
        <v>0</v>
      </c>
      <c r="M23" s="13">
        <f t="shared" si="12"/>
        <v>0</v>
      </c>
      <c r="N23" s="12">
        <f t="shared" si="13"/>
        <v>0</v>
      </c>
      <c r="O23" s="13">
        <f t="shared" si="14"/>
        <v>0</v>
      </c>
      <c r="P23" s="13">
        <f t="shared" si="15"/>
        <v>0</v>
      </c>
      <c r="Q23" s="13">
        <f t="shared" si="16"/>
        <v>0</v>
      </c>
      <c r="R23" s="12">
        <f t="shared" si="17"/>
        <v>0</v>
      </c>
      <c r="S23" s="12">
        <f t="shared" si="18"/>
        <v>0</v>
      </c>
      <c r="T23" s="12">
        <f t="shared" si="19"/>
        <v>0</v>
      </c>
      <c r="U23" s="12">
        <f t="shared" si="20"/>
        <v>0</v>
      </c>
      <c r="V23" s="13">
        <f t="shared" si="21"/>
        <v>0</v>
      </c>
      <c r="W23" s="12">
        <f t="shared" si="22"/>
        <v>0</v>
      </c>
      <c r="X23" s="12">
        <f t="shared" si="0"/>
        <v>0</v>
      </c>
      <c r="Y23" s="12">
        <f t="shared" si="23"/>
        <v>0</v>
      </c>
      <c r="Z23" s="12">
        <f t="shared" si="24"/>
        <v>0</v>
      </c>
      <c r="AA23" s="14">
        <f t="shared" si="25"/>
        <v>0</v>
      </c>
      <c r="AB23" s="12">
        <f t="shared" si="26"/>
        <v>0</v>
      </c>
      <c r="AC23" s="15" t="b">
        <f>IF(OR(A23="",B23=""),FALSE,SubscribeQuotes(A23,B23))</f>
        <v>0</v>
      </c>
      <c r="AD23" s="13">
        <f t="shared" si="27"/>
        <v>0</v>
      </c>
    </row>
    <row r="24" spans="1:30">
      <c r="A24" s="9"/>
      <c r="B24" s="9"/>
      <c r="C24" s="10" t="str">
        <f t="shared" si="2"/>
        <v/>
      </c>
      <c r="D24" s="12">
        <f t="shared" si="3"/>
        <v>0</v>
      </c>
      <c r="E24" s="13">
        <f t="shared" si="4"/>
        <v>0</v>
      </c>
      <c r="F24" s="12">
        <f t="shared" si="5"/>
        <v>0</v>
      </c>
      <c r="G24" s="12">
        <f t="shared" si="6"/>
        <v>0</v>
      </c>
      <c r="H24" s="12">
        <f t="shared" si="7"/>
        <v>0</v>
      </c>
      <c r="I24" s="13">
        <f t="shared" si="8"/>
        <v>0</v>
      </c>
      <c r="J24" s="12">
        <f t="shared" si="9"/>
        <v>0</v>
      </c>
      <c r="K24" s="13">
        <f t="shared" si="10"/>
        <v>0</v>
      </c>
      <c r="L24" s="12">
        <f t="shared" si="11"/>
        <v>0</v>
      </c>
      <c r="M24" s="13">
        <f t="shared" si="12"/>
        <v>0</v>
      </c>
      <c r="N24" s="12">
        <f t="shared" si="13"/>
        <v>0</v>
      </c>
      <c r="O24" s="13">
        <f t="shared" si="14"/>
        <v>0</v>
      </c>
      <c r="P24" s="13">
        <f t="shared" si="15"/>
        <v>0</v>
      </c>
      <c r="Q24" s="13">
        <f t="shared" si="16"/>
        <v>0</v>
      </c>
      <c r="R24" s="12">
        <f t="shared" si="17"/>
        <v>0</v>
      </c>
      <c r="S24" s="12">
        <f t="shared" si="18"/>
        <v>0</v>
      </c>
      <c r="T24" s="12">
        <f t="shared" si="19"/>
        <v>0</v>
      </c>
      <c r="U24" s="12">
        <f t="shared" si="20"/>
        <v>0</v>
      </c>
      <c r="V24" s="13">
        <f t="shared" si="21"/>
        <v>0</v>
      </c>
      <c r="W24" s="12">
        <f t="shared" si="22"/>
        <v>0</v>
      </c>
      <c r="X24" s="12">
        <f t="shared" si="0"/>
        <v>0</v>
      </c>
      <c r="Y24" s="12">
        <f t="shared" si="23"/>
        <v>0</v>
      </c>
      <c r="Z24" s="12">
        <f t="shared" si="24"/>
        <v>0</v>
      </c>
      <c r="AA24" s="14">
        <f t="shared" si="25"/>
        <v>0</v>
      </c>
      <c r="AB24" s="12">
        <f t="shared" si="26"/>
        <v>0</v>
      </c>
      <c r="AC24" s="15" t="b">
        <f>IF(OR(A24="",B24=""),FALSE,SubscribeQuotes(A24,B24))</f>
        <v>0</v>
      </c>
      <c r="AD24" s="13">
        <f t="shared" si="27"/>
        <v>0</v>
      </c>
    </row>
    <row r="25" spans="1:30">
      <c r="A25" s="9"/>
      <c r="B25" s="9"/>
      <c r="C25" s="10" t="str">
        <f t="shared" si="2"/>
        <v/>
      </c>
      <c r="D25" s="12">
        <f t="shared" si="3"/>
        <v>0</v>
      </c>
      <c r="E25" s="13">
        <f t="shared" si="4"/>
        <v>0</v>
      </c>
      <c r="F25" s="12">
        <f t="shared" si="5"/>
        <v>0</v>
      </c>
      <c r="G25" s="12">
        <f t="shared" si="6"/>
        <v>0</v>
      </c>
      <c r="H25" s="12">
        <f t="shared" si="7"/>
        <v>0</v>
      </c>
      <c r="I25" s="13">
        <f t="shared" si="8"/>
        <v>0</v>
      </c>
      <c r="J25" s="12">
        <f t="shared" si="9"/>
        <v>0</v>
      </c>
      <c r="K25" s="13">
        <f t="shared" si="10"/>
        <v>0</v>
      </c>
      <c r="L25" s="12">
        <f t="shared" si="11"/>
        <v>0</v>
      </c>
      <c r="M25" s="13">
        <f t="shared" si="12"/>
        <v>0</v>
      </c>
      <c r="N25" s="12">
        <f t="shared" si="13"/>
        <v>0</v>
      </c>
      <c r="O25" s="13">
        <f t="shared" si="14"/>
        <v>0</v>
      </c>
      <c r="P25" s="13">
        <f t="shared" si="15"/>
        <v>0</v>
      </c>
      <c r="Q25" s="13">
        <f t="shared" si="16"/>
        <v>0</v>
      </c>
      <c r="R25" s="12">
        <f t="shared" si="17"/>
        <v>0</v>
      </c>
      <c r="S25" s="12">
        <f t="shared" si="18"/>
        <v>0</v>
      </c>
      <c r="T25" s="12">
        <f t="shared" si="19"/>
        <v>0</v>
      </c>
      <c r="U25" s="12">
        <f t="shared" si="20"/>
        <v>0</v>
      </c>
      <c r="V25" s="13">
        <f t="shared" si="21"/>
        <v>0</v>
      </c>
      <c r="W25" s="12">
        <f t="shared" si="22"/>
        <v>0</v>
      </c>
      <c r="X25" s="12">
        <f t="shared" si="0"/>
        <v>0</v>
      </c>
      <c r="Y25" s="12">
        <f t="shared" si="23"/>
        <v>0</v>
      </c>
      <c r="Z25" s="12">
        <f t="shared" si="24"/>
        <v>0</v>
      </c>
      <c r="AA25" s="14">
        <f t="shared" si="25"/>
        <v>0</v>
      </c>
      <c r="AB25" s="12">
        <f t="shared" si="26"/>
        <v>0</v>
      </c>
      <c r="AC25" s="15" t="b">
        <f>IF(OR(A25="",B25=""),FALSE,SubscribeQuotes(A25,B25))</f>
        <v>0</v>
      </c>
      <c r="AD25" s="13">
        <f t="shared" si="27"/>
        <v>0</v>
      </c>
    </row>
    <row r="26" spans="1:30">
      <c r="A26" s="9"/>
      <c r="B26" s="9"/>
      <c r="C26" s="10" t="str">
        <f t="shared" si="2"/>
        <v/>
      </c>
      <c r="D26" s="12">
        <f t="shared" si="3"/>
        <v>0</v>
      </c>
      <c r="E26" s="13">
        <f t="shared" si="4"/>
        <v>0</v>
      </c>
      <c r="F26" s="12">
        <f t="shared" si="5"/>
        <v>0</v>
      </c>
      <c r="G26" s="12">
        <f t="shared" si="6"/>
        <v>0</v>
      </c>
      <c r="H26" s="12">
        <f t="shared" si="7"/>
        <v>0</v>
      </c>
      <c r="I26" s="13">
        <f t="shared" si="8"/>
        <v>0</v>
      </c>
      <c r="J26" s="12">
        <f t="shared" si="9"/>
        <v>0</v>
      </c>
      <c r="K26" s="13">
        <f t="shared" si="10"/>
        <v>0</v>
      </c>
      <c r="L26" s="12">
        <f t="shared" si="11"/>
        <v>0</v>
      </c>
      <c r="M26" s="13">
        <f t="shared" si="12"/>
        <v>0</v>
      </c>
      <c r="N26" s="12">
        <f t="shared" si="13"/>
        <v>0</v>
      </c>
      <c r="O26" s="13">
        <f t="shared" si="14"/>
        <v>0</v>
      </c>
      <c r="P26" s="13">
        <f t="shared" si="15"/>
        <v>0</v>
      </c>
      <c r="Q26" s="13">
        <f t="shared" si="16"/>
        <v>0</v>
      </c>
      <c r="R26" s="12">
        <f t="shared" si="17"/>
        <v>0</v>
      </c>
      <c r="S26" s="12">
        <f t="shared" si="18"/>
        <v>0</v>
      </c>
      <c r="T26" s="12">
        <f t="shared" si="19"/>
        <v>0</v>
      </c>
      <c r="U26" s="12">
        <f t="shared" si="20"/>
        <v>0</v>
      </c>
      <c r="V26" s="13">
        <f t="shared" si="21"/>
        <v>0</v>
      </c>
      <c r="W26" s="12">
        <f t="shared" si="22"/>
        <v>0</v>
      </c>
      <c r="X26" s="12">
        <f t="shared" si="0"/>
        <v>0</v>
      </c>
      <c r="Y26" s="12">
        <f t="shared" si="23"/>
        <v>0</v>
      </c>
      <c r="Z26" s="12">
        <f t="shared" si="24"/>
        <v>0</v>
      </c>
      <c r="AA26" s="14">
        <f t="shared" si="25"/>
        <v>0</v>
      </c>
      <c r="AB26" s="12">
        <f t="shared" si="26"/>
        <v>0</v>
      </c>
      <c r="AC26" s="15" t="b">
        <f>IF(OR(A26="",B26=""),FALSE,SubscribeQuotes(A26,B26))</f>
        <v>0</v>
      </c>
      <c r="AD26" s="13">
        <f t="shared" si="27"/>
        <v>0</v>
      </c>
    </row>
    <row r="27" spans="1:30">
      <c r="A27" s="9"/>
      <c r="B27" s="9"/>
      <c r="C27" s="10" t="str">
        <f t="shared" si="2"/>
        <v/>
      </c>
      <c r="D27" s="12">
        <f t="shared" si="3"/>
        <v>0</v>
      </c>
      <c r="E27" s="13">
        <f t="shared" si="4"/>
        <v>0</v>
      </c>
      <c r="F27" s="12">
        <f t="shared" si="5"/>
        <v>0</v>
      </c>
      <c r="G27" s="12">
        <f t="shared" si="6"/>
        <v>0</v>
      </c>
      <c r="H27" s="12">
        <f t="shared" si="7"/>
        <v>0</v>
      </c>
      <c r="I27" s="13">
        <f t="shared" si="8"/>
        <v>0</v>
      </c>
      <c r="J27" s="12">
        <f t="shared" si="9"/>
        <v>0</v>
      </c>
      <c r="K27" s="13">
        <f t="shared" si="10"/>
        <v>0</v>
      </c>
      <c r="L27" s="12">
        <f t="shared" si="11"/>
        <v>0</v>
      </c>
      <c r="M27" s="13">
        <f t="shared" si="12"/>
        <v>0</v>
      </c>
      <c r="N27" s="12">
        <f t="shared" si="13"/>
        <v>0</v>
      </c>
      <c r="O27" s="13">
        <f t="shared" si="14"/>
        <v>0</v>
      </c>
      <c r="P27" s="13">
        <f t="shared" si="15"/>
        <v>0</v>
      </c>
      <c r="Q27" s="13">
        <f t="shared" si="16"/>
        <v>0</v>
      </c>
      <c r="R27" s="12">
        <f t="shared" si="17"/>
        <v>0</v>
      </c>
      <c r="S27" s="12">
        <f t="shared" si="18"/>
        <v>0</v>
      </c>
      <c r="T27" s="12">
        <f t="shared" si="19"/>
        <v>0</v>
      </c>
      <c r="U27" s="12">
        <f t="shared" si="20"/>
        <v>0</v>
      </c>
      <c r="V27" s="13">
        <f t="shared" si="21"/>
        <v>0</v>
      </c>
      <c r="W27" s="12">
        <f t="shared" si="22"/>
        <v>0</v>
      </c>
      <c r="X27" s="12">
        <f t="shared" si="0"/>
        <v>0</v>
      </c>
      <c r="Y27" s="12">
        <f t="shared" si="23"/>
        <v>0</v>
      </c>
      <c r="Z27" s="12">
        <f t="shared" si="24"/>
        <v>0</v>
      </c>
      <c r="AA27" s="14">
        <f t="shared" si="25"/>
        <v>0</v>
      </c>
      <c r="AB27" s="12">
        <f t="shared" si="26"/>
        <v>0</v>
      </c>
      <c r="AC27" s="15" t="b">
        <f>IF(OR(A27="",B27=""),FALSE,SubscribeQuotes(A27,B27))</f>
        <v>0</v>
      </c>
      <c r="AD27" s="13">
        <f t="shared" si="27"/>
        <v>0</v>
      </c>
    </row>
    <row r="28" spans="1:30">
      <c r="A28" s="9"/>
      <c r="B28" s="9"/>
      <c r="C28" s="10" t="str">
        <f t="shared" si="2"/>
        <v/>
      </c>
      <c r="D28" s="12">
        <f t="shared" si="3"/>
        <v>0</v>
      </c>
      <c r="E28" s="13">
        <f t="shared" si="4"/>
        <v>0</v>
      </c>
      <c r="F28" s="12">
        <f t="shared" si="5"/>
        <v>0</v>
      </c>
      <c r="G28" s="12">
        <f t="shared" si="6"/>
        <v>0</v>
      </c>
      <c r="H28" s="12">
        <f t="shared" si="7"/>
        <v>0</v>
      </c>
      <c r="I28" s="13">
        <f t="shared" si="8"/>
        <v>0</v>
      </c>
      <c r="J28" s="12">
        <f t="shared" si="9"/>
        <v>0</v>
      </c>
      <c r="K28" s="13">
        <f t="shared" si="10"/>
        <v>0</v>
      </c>
      <c r="L28" s="12">
        <f t="shared" si="11"/>
        <v>0</v>
      </c>
      <c r="M28" s="13">
        <f t="shared" si="12"/>
        <v>0</v>
      </c>
      <c r="N28" s="12">
        <f t="shared" si="13"/>
        <v>0</v>
      </c>
      <c r="O28" s="13">
        <f t="shared" si="14"/>
        <v>0</v>
      </c>
      <c r="P28" s="13">
        <f t="shared" si="15"/>
        <v>0</v>
      </c>
      <c r="Q28" s="13">
        <f t="shared" si="16"/>
        <v>0</v>
      </c>
      <c r="R28" s="12">
        <f t="shared" si="17"/>
        <v>0</v>
      </c>
      <c r="S28" s="12">
        <f t="shared" si="18"/>
        <v>0</v>
      </c>
      <c r="T28" s="12">
        <f t="shared" si="19"/>
        <v>0</v>
      </c>
      <c r="U28" s="12">
        <f t="shared" si="20"/>
        <v>0</v>
      </c>
      <c r="V28" s="13">
        <f t="shared" si="21"/>
        <v>0</v>
      </c>
      <c r="W28" s="12">
        <f t="shared" si="22"/>
        <v>0</v>
      </c>
      <c r="X28" s="12">
        <f t="shared" si="0"/>
        <v>0</v>
      </c>
      <c r="Y28" s="12">
        <f t="shared" si="23"/>
        <v>0</v>
      </c>
      <c r="Z28" s="12">
        <f t="shared" si="24"/>
        <v>0</v>
      </c>
      <c r="AA28" s="14">
        <f t="shared" si="25"/>
        <v>0</v>
      </c>
      <c r="AB28" s="12">
        <f t="shared" si="26"/>
        <v>0</v>
      </c>
      <c r="AC28" s="15" t="b">
        <f>IF(OR(A28="",B28=""),FALSE,SubscribeQuotes(A28,B28))</f>
        <v>0</v>
      </c>
      <c r="AD28" s="13">
        <f t="shared" si="27"/>
        <v>0</v>
      </c>
    </row>
    <row r="29" spans="1:30">
      <c r="A29" s="9"/>
      <c r="B29" s="9"/>
      <c r="C29" s="10" t="str">
        <f t="shared" si="2"/>
        <v/>
      </c>
      <c r="D29" s="12">
        <f t="shared" si="3"/>
        <v>0</v>
      </c>
      <c r="E29" s="13">
        <f t="shared" si="4"/>
        <v>0</v>
      </c>
      <c r="F29" s="12">
        <f t="shared" si="5"/>
        <v>0</v>
      </c>
      <c r="G29" s="12">
        <f t="shared" si="6"/>
        <v>0</v>
      </c>
      <c r="H29" s="12">
        <f t="shared" si="7"/>
        <v>0</v>
      </c>
      <c r="I29" s="13">
        <f t="shared" si="8"/>
        <v>0</v>
      </c>
      <c r="J29" s="12">
        <f t="shared" si="9"/>
        <v>0</v>
      </c>
      <c r="K29" s="13">
        <f t="shared" si="10"/>
        <v>0</v>
      </c>
      <c r="L29" s="12">
        <f t="shared" si="11"/>
        <v>0</v>
      </c>
      <c r="M29" s="13">
        <f t="shared" si="12"/>
        <v>0</v>
      </c>
      <c r="N29" s="12">
        <f t="shared" si="13"/>
        <v>0</v>
      </c>
      <c r="O29" s="13">
        <f t="shared" si="14"/>
        <v>0</v>
      </c>
      <c r="P29" s="13">
        <f t="shared" si="15"/>
        <v>0</v>
      </c>
      <c r="Q29" s="13">
        <f t="shared" si="16"/>
        <v>0</v>
      </c>
      <c r="R29" s="12">
        <f t="shared" si="17"/>
        <v>0</v>
      </c>
      <c r="S29" s="12">
        <f t="shared" si="18"/>
        <v>0</v>
      </c>
      <c r="T29" s="12">
        <f t="shared" si="19"/>
        <v>0</v>
      </c>
      <c r="U29" s="12">
        <f t="shared" si="20"/>
        <v>0</v>
      </c>
      <c r="V29" s="13">
        <f t="shared" si="21"/>
        <v>0</v>
      </c>
      <c r="W29" s="12">
        <f t="shared" si="22"/>
        <v>0</v>
      </c>
      <c r="X29" s="12">
        <f t="shared" si="0"/>
        <v>0</v>
      </c>
      <c r="Y29" s="12">
        <f t="shared" si="23"/>
        <v>0</v>
      </c>
      <c r="Z29" s="12">
        <f t="shared" si="24"/>
        <v>0</v>
      </c>
      <c r="AA29" s="14">
        <f t="shared" si="25"/>
        <v>0</v>
      </c>
      <c r="AB29" s="12">
        <f t="shared" si="26"/>
        <v>0</v>
      </c>
      <c r="AC29" s="15" t="b">
        <f>IF(OR(A29="",B29=""),FALSE,SubscribeQuotes(A29,B29))</f>
        <v>0</v>
      </c>
      <c r="AD29" s="13">
        <f t="shared" si="27"/>
        <v>0</v>
      </c>
    </row>
    <row r="30" spans="1:30">
      <c r="A30" s="9"/>
      <c r="B30" s="9"/>
      <c r="C30" s="10" t="str">
        <f t="shared" si="2"/>
        <v/>
      </c>
      <c r="D30" s="12">
        <f t="shared" si="3"/>
        <v>0</v>
      </c>
      <c r="E30" s="13">
        <f t="shared" si="4"/>
        <v>0</v>
      </c>
      <c r="F30" s="12">
        <f t="shared" si="5"/>
        <v>0</v>
      </c>
      <c r="G30" s="12">
        <f t="shared" si="6"/>
        <v>0</v>
      </c>
      <c r="H30" s="12">
        <f t="shared" si="7"/>
        <v>0</v>
      </c>
      <c r="I30" s="13">
        <f t="shared" si="8"/>
        <v>0</v>
      </c>
      <c r="J30" s="12">
        <f t="shared" si="9"/>
        <v>0</v>
      </c>
      <c r="K30" s="13">
        <f t="shared" si="10"/>
        <v>0</v>
      </c>
      <c r="L30" s="12">
        <f t="shared" si="11"/>
        <v>0</v>
      </c>
      <c r="M30" s="13">
        <f t="shared" si="12"/>
        <v>0</v>
      </c>
      <c r="N30" s="12">
        <f t="shared" si="13"/>
        <v>0</v>
      </c>
      <c r="O30" s="13">
        <f t="shared" si="14"/>
        <v>0</v>
      </c>
      <c r="P30" s="13">
        <f t="shared" si="15"/>
        <v>0</v>
      </c>
      <c r="Q30" s="13">
        <f t="shared" si="16"/>
        <v>0</v>
      </c>
      <c r="R30" s="12">
        <f t="shared" si="17"/>
        <v>0</v>
      </c>
      <c r="S30" s="12">
        <f t="shared" si="18"/>
        <v>0</v>
      </c>
      <c r="T30" s="12">
        <f t="shared" si="19"/>
        <v>0</v>
      </c>
      <c r="U30" s="12">
        <f t="shared" si="20"/>
        <v>0</v>
      </c>
      <c r="V30" s="13">
        <f t="shared" si="21"/>
        <v>0</v>
      </c>
      <c r="W30" s="12">
        <f t="shared" si="22"/>
        <v>0</v>
      </c>
      <c r="X30" s="12">
        <f t="shared" si="0"/>
        <v>0</v>
      </c>
      <c r="Y30" s="12">
        <f t="shared" si="23"/>
        <v>0</v>
      </c>
      <c r="Z30" s="12">
        <f t="shared" si="24"/>
        <v>0</v>
      </c>
      <c r="AA30" s="14">
        <f t="shared" si="25"/>
        <v>0</v>
      </c>
      <c r="AB30" s="12">
        <f t="shared" si="26"/>
        <v>0</v>
      </c>
      <c r="AC30" s="15" t="b">
        <f>IF(OR(A30="",B30=""),FALSE,SubscribeQuotes(A30,B30))</f>
        <v>0</v>
      </c>
      <c r="AD30" s="13">
        <f t="shared" si="27"/>
        <v>0</v>
      </c>
    </row>
    <row r="31" spans="1:30">
      <c r="A31" s="9"/>
      <c r="B31" s="9"/>
      <c r="C31" s="10" t="str">
        <f t="shared" si="2"/>
        <v/>
      </c>
      <c r="D31" s="12">
        <f t="shared" si="3"/>
        <v>0</v>
      </c>
      <c r="E31" s="13">
        <f t="shared" si="4"/>
        <v>0</v>
      </c>
      <c r="F31" s="12">
        <f t="shared" si="5"/>
        <v>0</v>
      </c>
      <c r="G31" s="12">
        <f t="shared" si="6"/>
        <v>0</v>
      </c>
      <c r="H31" s="12">
        <f t="shared" si="7"/>
        <v>0</v>
      </c>
      <c r="I31" s="13">
        <f t="shared" si="8"/>
        <v>0</v>
      </c>
      <c r="J31" s="12">
        <f t="shared" si="9"/>
        <v>0</v>
      </c>
      <c r="K31" s="13">
        <f t="shared" si="10"/>
        <v>0</v>
      </c>
      <c r="L31" s="12">
        <f t="shared" si="11"/>
        <v>0</v>
      </c>
      <c r="M31" s="13">
        <f t="shared" si="12"/>
        <v>0</v>
      </c>
      <c r="N31" s="12">
        <f t="shared" si="13"/>
        <v>0</v>
      </c>
      <c r="O31" s="13">
        <f t="shared" si="14"/>
        <v>0</v>
      </c>
      <c r="P31" s="13">
        <f t="shared" si="15"/>
        <v>0</v>
      </c>
      <c r="Q31" s="13">
        <f t="shared" si="16"/>
        <v>0</v>
      </c>
      <c r="R31" s="12">
        <f t="shared" si="17"/>
        <v>0</v>
      </c>
      <c r="S31" s="12">
        <f t="shared" si="18"/>
        <v>0</v>
      </c>
      <c r="T31" s="12">
        <f t="shared" si="19"/>
        <v>0</v>
      </c>
      <c r="U31" s="12">
        <f t="shared" si="20"/>
        <v>0</v>
      </c>
      <c r="V31" s="13">
        <f t="shared" si="21"/>
        <v>0</v>
      </c>
      <c r="W31" s="12">
        <f t="shared" si="22"/>
        <v>0</v>
      </c>
      <c r="X31" s="12">
        <f t="shared" si="0"/>
        <v>0</v>
      </c>
      <c r="Y31" s="12">
        <f t="shared" si="23"/>
        <v>0</v>
      </c>
      <c r="Z31" s="12">
        <f t="shared" si="24"/>
        <v>0</v>
      </c>
      <c r="AA31" s="14">
        <f t="shared" si="25"/>
        <v>0</v>
      </c>
      <c r="AB31" s="12">
        <f t="shared" si="26"/>
        <v>0</v>
      </c>
      <c r="AC31" s="15" t="b">
        <f>IF(OR(A31="",B31=""),FALSE,SubscribeQuotes(A31,B31))</f>
        <v>0</v>
      </c>
      <c r="AD31" s="13">
        <f t="shared" si="27"/>
        <v>0</v>
      </c>
    </row>
    <row r="32" spans="1:30">
      <c r="A32" s="9"/>
      <c r="B32" s="9"/>
      <c r="C32" s="10" t="str">
        <f t="shared" si="2"/>
        <v/>
      </c>
      <c r="D32" s="12">
        <f t="shared" si="3"/>
        <v>0</v>
      </c>
      <c r="E32" s="13">
        <f t="shared" si="4"/>
        <v>0</v>
      </c>
      <c r="F32" s="12">
        <f t="shared" si="5"/>
        <v>0</v>
      </c>
      <c r="G32" s="12">
        <f t="shared" si="6"/>
        <v>0</v>
      </c>
      <c r="H32" s="12">
        <f t="shared" si="7"/>
        <v>0</v>
      </c>
      <c r="I32" s="13">
        <f t="shared" si="8"/>
        <v>0</v>
      </c>
      <c r="J32" s="12">
        <f t="shared" si="9"/>
        <v>0</v>
      </c>
      <c r="K32" s="13">
        <f t="shared" si="10"/>
        <v>0</v>
      </c>
      <c r="L32" s="12">
        <f t="shared" si="11"/>
        <v>0</v>
      </c>
      <c r="M32" s="13">
        <f t="shared" si="12"/>
        <v>0</v>
      </c>
      <c r="N32" s="12">
        <f t="shared" si="13"/>
        <v>0</v>
      </c>
      <c r="O32" s="13">
        <f t="shared" si="14"/>
        <v>0</v>
      </c>
      <c r="P32" s="13">
        <f t="shared" si="15"/>
        <v>0</v>
      </c>
      <c r="Q32" s="13">
        <f t="shared" si="16"/>
        <v>0</v>
      </c>
      <c r="R32" s="12">
        <f t="shared" si="17"/>
        <v>0</v>
      </c>
      <c r="S32" s="12">
        <f t="shared" si="18"/>
        <v>0</v>
      </c>
      <c r="T32" s="12">
        <f t="shared" si="19"/>
        <v>0</v>
      </c>
      <c r="U32" s="12">
        <f t="shared" si="20"/>
        <v>0</v>
      </c>
      <c r="V32" s="13">
        <f t="shared" si="21"/>
        <v>0</v>
      </c>
      <c r="W32" s="12">
        <f t="shared" si="22"/>
        <v>0</v>
      </c>
      <c r="X32" s="12">
        <f t="shared" si="0"/>
        <v>0</v>
      </c>
      <c r="Y32" s="12">
        <f t="shared" si="23"/>
        <v>0</v>
      </c>
      <c r="Z32" s="12">
        <f t="shared" si="24"/>
        <v>0</v>
      </c>
      <c r="AA32" s="14">
        <f t="shared" si="25"/>
        <v>0</v>
      </c>
      <c r="AB32" s="12">
        <f t="shared" si="26"/>
        <v>0</v>
      </c>
      <c r="AC32" s="15" t="b">
        <f>IF(OR(A32="",B32=""),FALSE,SubscribeQuotes(A32,B32))</f>
        <v>0</v>
      </c>
      <c r="AD32" s="13">
        <f t="shared" si="27"/>
        <v>0</v>
      </c>
    </row>
    <row r="33" spans="1:30">
      <c r="A33" s="9"/>
      <c r="B33" s="9"/>
      <c r="C33" s="10" t="str">
        <f t="shared" si="2"/>
        <v/>
      </c>
      <c r="D33" s="12">
        <f t="shared" si="3"/>
        <v>0</v>
      </c>
      <c r="E33" s="13">
        <f t="shared" si="4"/>
        <v>0</v>
      </c>
      <c r="F33" s="12">
        <f t="shared" si="5"/>
        <v>0</v>
      </c>
      <c r="G33" s="12">
        <f t="shared" si="6"/>
        <v>0</v>
      </c>
      <c r="H33" s="12">
        <f t="shared" si="7"/>
        <v>0</v>
      </c>
      <c r="I33" s="13">
        <f t="shared" si="8"/>
        <v>0</v>
      </c>
      <c r="J33" s="12">
        <f t="shared" si="9"/>
        <v>0</v>
      </c>
      <c r="K33" s="13">
        <f t="shared" si="10"/>
        <v>0</v>
      </c>
      <c r="L33" s="12">
        <f t="shared" si="11"/>
        <v>0</v>
      </c>
      <c r="M33" s="13">
        <f t="shared" si="12"/>
        <v>0</v>
      </c>
      <c r="N33" s="12">
        <f t="shared" si="13"/>
        <v>0</v>
      </c>
      <c r="O33" s="13">
        <f t="shared" si="14"/>
        <v>0</v>
      </c>
      <c r="P33" s="13">
        <f t="shared" si="15"/>
        <v>0</v>
      </c>
      <c r="Q33" s="13">
        <f t="shared" si="16"/>
        <v>0</v>
      </c>
      <c r="R33" s="12">
        <f t="shared" si="17"/>
        <v>0</v>
      </c>
      <c r="S33" s="12">
        <f t="shared" si="18"/>
        <v>0</v>
      </c>
      <c r="T33" s="12">
        <f t="shared" si="19"/>
        <v>0</v>
      </c>
      <c r="U33" s="12">
        <f t="shared" si="20"/>
        <v>0</v>
      </c>
      <c r="V33" s="13">
        <f t="shared" si="21"/>
        <v>0</v>
      </c>
      <c r="W33" s="12">
        <f t="shared" si="22"/>
        <v>0</v>
      </c>
      <c r="X33" s="12">
        <f t="shared" si="0"/>
        <v>0</v>
      </c>
      <c r="Y33" s="12">
        <f t="shared" si="23"/>
        <v>0</v>
      </c>
      <c r="Z33" s="12">
        <f t="shared" si="24"/>
        <v>0</v>
      </c>
      <c r="AA33" s="14">
        <f t="shared" si="25"/>
        <v>0</v>
      </c>
      <c r="AB33" s="12">
        <f t="shared" si="26"/>
        <v>0</v>
      </c>
      <c r="AC33" s="15" t="b">
        <f>IF(OR(A33="",B33=""),FALSE,SubscribeQuotes(A33,B33))</f>
        <v>0</v>
      </c>
      <c r="AD33" s="13">
        <f t="shared" si="27"/>
        <v>0</v>
      </c>
    </row>
    <row r="34" spans="1:30">
      <c r="A34" s="9"/>
      <c r="B34" s="9"/>
      <c r="C34" s="10" t="str">
        <f t="shared" si="2"/>
        <v/>
      </c>
      <c r="D34" s="12">
        <f t="shared" si="3"/>
        <v>0</v>
      </c>
      <c r="E34" s="13">
        <f t="shared" si="4"/>
        <v>0</v>
      </c>
      <c r="F34" s="12">
        <f t="shared" si="5"/>
        <v>0</v>
      </c>
      <c r="G34" s="12">
        <f t="shared" si="6"/>
        <v>0</v>
      </c>
      <c r="H34" s="12">
        <f t="shared" si="7"/>
        <v>0</v>
      </c>
      <c r="I34" s="13">
        <f t="shared" si="8"/>
        <v>0</v>
      </c>
      <c r="J34" s="12">
        <f t="shared" si="9"/>
        <v>0</v>
      </c>
      <c r="K34" s="13">
        <f t="shared" si="10"/>
        <v>0</v>
      </c>
      <c r="L34" s="12">
        <f t="shared" si="11"/>
        <v>0</v>
      </c>
      <c r="M34" s="13">
        <f t="shared" si="12"/>
        <v>0</v>
      </c>
      <c r="N34" s="12">
        <f t="shared" si="13"/>
        <v>0</v>
      </c>
      <c r="O34" s="13">
        <f t="shared" si="14"/>
        <v>0</v>
      </c>
      <c r="P34" s="13">
        <f t="shared" si="15"/>
        <v>0</v>
      </c>
      <c r="Q34" s="13">
        <f t="shared" si="16"/>
        <v>0</v>
      </c>
      <c r="R34" s="12">
        <f t="shared" si="17"/>
        <v>0</v>
      </c>
      <c r="S34" s="12">
        <f t="shared" si="18"/>
        <v>0</v>
      </c>
      <c r="T34" s="12">
        <f t="shared" si="19"/>
        <v>0</v>
      </c>
      <c r="U34" s="12">
        <f t="shared" si="20"/>
        <v>0</v>
      </c>
      <c r="V34" s="13">
        <f t="shared" si="21"/>
        <v>0</v>
      </c>
      <c r="W34" s="12">
        <f t="shared" si="22"/>
        <v>0</v>
      </c>
      <c r="X34" s="12">
        <f t="shared" ref="X34:X65" si="28">GetRTD(A34,B34,"UPPERCKT")</f>
        <v>0</v>
      </c>
      <c r="Y34" s="12">
        <f t="shared" si="23"/>
        <v>0</v>
      </c>
      <c r="Z34" s="12">
        <f t="shared" si="24"/>
        <v>0</v>
      </c>
      <c r="AA34" s="14">
        <f t="shared" si="25"/>
        <v>0</v>
      </c>
      <c r="AB34" s="12">
        <f t="shared" si="26"/>
        <v>0</v>
      </c>
      <c r="AC34" s="15" t="b">
        <f>IF(OR(A34="",B34=""),FALSE,SubscribeQuotes(A34,B34))</f>
        <v>0</v>
      </c>
      <c r="AD34" s="13">
        <f t="shared" si="27"/>
        <v>0</v>
      </c>
    </row>
    <row r="35" spans="1:30">
      <c r="A35" s="9"/>
      <c r="B35" s="9"/>
      <c r="C35" s="10" t="str">
        <f t="shared" si="2"/>
        <v/>
      </c>
      <c r="D35" s="12">
        <f t="shared" si="3"/>
        <v>0</v>
      </c>
      <c r="E35" s="13">
        <f t="shared" si="4"/>
        <v>0</v>
      </c>
      <c r="F35" s="12">
        <f t="shared" si="5"/>
        <v>0</v>
      </c>
      <c r="G35" s="12">
        <f t="shared" si="6"/>
        <v>0</v>
      </c>
      <c r="H35" s="12">
        <f t="shared" si="7"/>
        <v>0</v>
      </c>
      <c r="I35" s="13">
        <f t="shared" si="8"/>
        <v>0</v>
      </c>
      <c r="J35" s="12">
        <f t="shared" si="9"/>
        <v>0</v>
      </c>
      <c r="K35" s="13">
        <f t="shared" si="10"/>
        <v>0</v>
      </c>
      <c r="L35" s="12">
        <f t="shared" si="11"/>
        <v>0</v>
      </c>
      <c r="M35" s="13">
        <f t="shared" si="12"/>
        <v>0</v>
      </c>
      <c r="N35" s="12">
        <f t="shared" si="13"/>
        <v>0</v>
      </c>
      <c r="O35" s="13">
        <f t="shared" si="14"/>
        <v>0</v>
      </c>
      <c r="P35" s="13">
        <f t="shared" si="15"/>
        <v>0</v>
      </c>
      <c r="Q35" s="13">
        <f t="shared" si="16"/>
        <v>0</v>
      </c>
      <c r="R35" s="12">
        <f t="shared" si="17"/>
        <v>0</v>
      </c>
      <c r="S35" s="12">
        <f t="shared" si="18"/>
        <v>0</v>
      </c>
      <c r="T35" s="12">
        <f t="shared" si="19"/>
        <v>0</v>
      </c>
      <c r="U35" s="12">
        <f t="shared" si="20"/>
        <v>0</v>
      </c>
      <c r="V35" s="13">
        <f t="shared" si="21"/>
        <v>0</v>
      </c>
      <c r="W35" s="12">
        <f t="shared" si="22"/>
        <v>0</v>
      </c>
      <c r="X35" s="12">
        <f t="shared" si="28"/>
        <v>0</v>
      </c>
      <c r="Y35" s="12">
        <f t="shared" si="23"/>
        <v>0</v>
      </c>
      <c r="Z35" s="12">
        <f t="shared" si="24"/>
        <v>0</v>
      </c>
      <c r="AA35" s="14">
        <f t="shared" si="25"/>
        <v>0</v>
      </c>
      <c r="AB35" s="12">
        <f t="shared" si="26"/>
        <v>0</v>
      </c>
      <c r="AC35" s="15" t="b">
        <f>IF(OR(A35="",B35=""),FALSE,SubscribeQuotes(A35,B35))</f>
        <v>0</v>
      </c>
      <c r="AD35" s="13">
        <f t="shared" si="27"/>
        <v>0</v>
      </c>
    </row>
    <row r="36" spans="1:30">
      <c r="A36" s="9"/>
      <c r="B36" s="9"/>
      <c r="C36" s="10" t="str">
        <f t="shared" si="2"/>
        <v/>
      </c>
      <c r="D36" s="12">
        <f t="shared" si="3"/>
        <v>0</v>
      </c>
      <c r="E36" s="13">
        <f t="shared" si="4"/>
        <v>0</v>
      </c>
      <c r="F36" s="12">
        <f t="shared" si="5"/>
        <v>0</v>
      </c>
      <c r="G36" s="12">
        <f t="shared" si="6"/>
        <v>0</v>
      </c>
      <c r="H36" s="12">
        <f t="shared" si="7"/>
        <v>0</v>
      </c>
      <c r="I36" s="13">
        <f t="shared" si="8"/>
        <v>0</v>
      </c>
      <c r="J36" s="12">
        <f t="shared" si="9"/>
        <v>0</v>
      </c>
      <c r="K36" s="13">
        <f t="shared" si="10"/>
        <v>0</v>
      </c>
      <c r="L36" s="12">
        <f t="shared" si="11"/>
        <v>0</v>
      </c>
      <c r="M36" s="13">
        <f t="shared" si="12"/>
        <v>0</v>
      </c>
      <c r="N36" s="12">
        <f t="shared" si="13"/>
        <v>0</v>
      </c>
      <c r="O36" s="13">
        <f t="shared" si="14"/>
        <v>0</v>
      </c>
      <c r="P36" s="13">
        <f t="shared" si="15"/>
        <v>0</v>
      </c>
      <c r="Q36" s="13">
        <f t="shared" si="16"/>
        <v>0</v>
      </c>
      <c r="R36" s="12">
        <f t="shared" si="17"/>
        <v>0</v>
      </c>
      <c r="S36" s="12">
        <f t="shared" si="18"/>
        <v>0</v>
      </c>
      <c r="T36" s="12">
        <f t="shared" si="19"/>
        <v>0</v>
      </c>
      <c r="U36" s="12">
        <f t="shared" si="20"/>
        <v>0</v>
      </c>
      <c r="V36" s="13">
        <f t="shared" si="21"/>
        <v>0</v>
      </c>
      <c r="W36" s="12">
        <f t="shared" si="22"/>
        <v>0</v>
      </c>
      <c r="X36" s="12">
        <f t="shared" si="28"/>
        <v>0</v>
      </c>
      <c r="Y36" s="12">
        <f t="shared" si="23"/>
        <v>0</v>
      </c>
      <c r="Z36" s="12">
        <f t="shared" si="24"/>
        <v>0</v>
      </c>
      <c r="AA36" s="14">
        <f t="shared" si="25"/>
        <v>0</v>
      </c>
      <c r="AB36" s="12">
        <f t="shared" si="26"/>
        <v>0</v>
      </c>
      <c r="AC36" s="15" t="b">
        <f>IF(OR(A36="",B36=""),FALSE,SubscribeQuotes(A36,B36))</f>
        <v>0</v>
      </c>
      <c r="AD36" s="13">
        <f t="shared" si="27"/>
        <v>0</v>
      </c>
    </row>
    <row r="37" spans="1:30">
      <c r="A37" s="9"/>
      <c r="B37" s="9"/>
      <c r="C37" s="10" t="str">
        <f t="shared" si="2"/>
        <v/>
      </c>
      <c r="D37" s="12">
        <f t="shared" si="3"/>
        <v>0</v>
      </c>
      <c r="E37" s="13">
        <f t="shared" si="4"/>
        <v>0</v>
      </c>
      <c r="F37" s="12">
        <f t="shared" si="5"/>
        <v>0</v>
      </c>
      <c r="G37" s="12">
        <f t="shared" si="6"/>
        <v>0</v>
      </c>
      <c r="H37" s="12">
        <f t="shared" si="7"/>
        <v>0</v>
      </c>
      <c r="I37" s="13">
        <f t="shared" si="8"/>
        <v>0</v>
      </c>
      <c r="J37" s="12">
        <f t="shared" si="9"/>
        <v>0</v>
      </c>
      <c r="K37" s="13">
        <f t="shared" si="10"/>
        <v>0</v>
      </c>
      <c r="L37" s="12">
        <f t="shared" si="11"/>
        <v>0</v>
      </c>
      <c r="M37" s="13">
        <f t="shared" si="12"/>
        <v>0</v>
      </c>
      <c r="N37" s="12">
        <f t="shared" si="13"/>
        <v>0</v>
      </c>
      <c r="O37" s="13">
        <f t="shared" si="14"/>
        <v>0</v>
      </c>
      <c r="P37" s="13">
        <f t="shared" si="15"/>
        <v>0</v>
      </c>
      <c r="Q37" s="13">
        <f t="shared" si="16"/>
        <v>0</v>
      </c>
      <c r="R37" s="12">
        <f t="shared" si="17"/>
        <v>0</v>
      </c>
      <c r="S37" s="12">
        <f t="shared" si="18"/>
        <v>0</v>
      </c>
      <c r="T37" s="12">
        <f t="shared" si="19"/>
        <v>0</v>
      </c>
      <c r="U37" s="12">
        <f t="shared" si="20"/>
        <v>0</v>
      </c>
      <c r="V37" s="13">
        <f t="shared" si="21"/>
        <v>0</v>
      </c>
      <c r="W37" s="12">
        <f t="shared" si="22"/>
        <v>0</v>
      </c>
      <c r="X37" s="12">
        <f t="shared" si="28"/>
        <v>0</v>
      </c>
      <c r="Y37" s="12">
        <f t="shared" si="23"/>
        <v>0</v>
      </c>
      <c r="Z37" s="12">
        <f t="shared" si="24"/>
        <v>0</v>
      </c>
      <c r="AA37" s="14">
        <f t="shared" si="25"/>
        <v>0</v>
      </c>
      <c r="AB37" s="12">
        <f t="shared" si="26"/>
        <v>0</v>
      </c>
      <c r="AC37" s="15" t="b">
        <f>IF(OR(A37="",B37=""),FALSE,SubscribeQuotes(A37,B37))</f>
        <v>0</v>
      </c>
      <c r="AD37" s="13">
        <f t="shared" si="27"/>
        <v>0</v>
      </c>
    </row>
    <row r="38" spans="1:30">
      <c r="A38" s="9"/>
      <c r="B38" s="9"/>
      <c r="C38" s="10" t="str">
        <f t="shared" si="2"/>
        <v/>
      </c>
      <c r="D38" s="12">
        <f t="shared" si="3"/>
        <v>0</v>
      </c>
      <c r="E38" s="13">
        <f t="shared" si="4"/>
        <v>0</v>
      </c>
      <c r="F38" s="12">
        <f t="shared" si="5"/>
        <v>0</v>
      </c>
      <c r="G38" s="12">
        <f t="shared" si="6"/>
        <v>0</v>
      </c>
      <c r="H38" s="12">
        <f t="shared" si="7"/>
        <v>0</v>
      </c>
      <c r="I38" s="13">
        <f t="shared" si="8"/>
        <v>0</v>
      </c>
      <c r="J38" s="12">
        <f t="shared" si="9"/>
        <v>0</v>
      </c>
      <c r="K38" s="13">
        <f t="shared" si="10"/>
        <v>0</v>
      </c>
      <c r="L38" s="12">
        <f t="shared" si="11"/>
        <v>0</v>
      </c>
      <c r="M38" s="13">
        <f t="shared" si="12"/>
        <v>0</v>
      </c>
      <c r="N38" s="12">
        <f t="shared" si="13"/>
        <v>0</v>
      </c>
      <c r="O38" s="13">
        <f t="shared" si="14"/>
        <v>0</v>
      </c>
      <c r="P38" s="13">
        <f t="shared" si="15"/>
        <v>0</v>
      </c>
      <c r="Q38" s="13">
        <f t="shared" si="16"/>
        <v>0</v>
      </c>
      <c r="R38" s="12">
        <f t="shared" si="17"/>
        <v>0</v>
      </c>
      <c r="S38" s="12">
        <f t="shared" si="18"/>
        <v>0</v>
      </c>
      <c r="T38" s="12">
        <f t="shared" si="19"/>
        <v>0</v>
      </c>
      <c r="U38" s="12">
        <f t="shared" si="20"/>
        <v>0</v>
      </c>
      <c r="V38" s="13">
        <f t="shared" si="21"/>
        <v>0</v>
      </c>
      <c r="W38" s="12">
        <f t="shared" si="22"/>
        <v>0</v>
      </c>
      <c r="X38" s="12">
        <f t="shared" si="28"/>
        <v>0</v>
      </c>
      <c r="Y38" s="12">
        <f t="shared" si="23"/>
        <v>0</v>
      </c>
      <c r="Z38" s="12">
        <f t="shared" si="24"/>
        <v>0</v>
      </c>
      <c r="AA38" s="14">
        <f t="shared" si="25"/>
        <v>0</v>
      </c>
      <c r="AB38" s="12">
        <f t="shared" si="26"/>
        <v>0</v>
      </c>
      <c r="AC38" s="15" t="b">
        <f>IF(OR(A38="",B38=""),FALSE,SubscribeQuotes(A38,B38))</f>
        <v>0</v>
      </c>
      <c r="AD38" s="13">
        <f t="shared" si="27"/>
        <v>0</v>
      </c>
    </row>
    <row r="39" spans="1:30">
      <c r="A39" s="9"/>
      <c r="B39" s="9"/>
      <c r="C39" s="10" t="str">
        <f t="shared" si="2"/>
        <v/>
      </c>
      <c r="D39" s="12">
        <f t="shared" si="3"/>
        <v>0</v>
      </c>
      <c r="E39" s="13">
        <f t="shared" si="4"/>
        <v>0</v>
      </c>
      <c r="F39" s="12">
        <f t="shared" si="5"/>
        <v>0</v>
      </c>
      <c r="G39" s="12">
        <f t="shared" si="6"/>
        <v>0</v>
      </c>
      <c r="H39" s="12">
        <f t="shared" si="7"/>
        <v>0</v>
      </c>
      <c r="I39" s="13">
        <f t="shared" si="8"/>
        <v>0</v>
      </c>
      <c r="J39" s="12">
        <f t="shared" si="9"/>
        <v>0</v>
      </c>
      <c r="K39" s="13">
        <f t="shared" si="10"/>
        <v>0</v>
      </c>
      <c r="L39" s="12">
        <f t="shared" si="11"/>
        <v>0</v>
      </c>
      <c r="M39" s="13">
        <f t="shared" si="12"/>
        <v>0</v>
      </c>
      <c r="N39" s="12">
        <f t="shared" si="13"/>
        <v>0</v>
      </c>
      <c r="O39" s="13">
        <f t="shared" si="14"/>
        <v>0</v>
      </c>
      <c r="P39" s="13">
        <f t="shared" si="15"/>
        <v>0</v>
      </c>
      <c r="Q39" s="13">
        <f t="shared" si="16"/>
        <v>0</v>
      </c>
      <c r="R39" s="12">
        <f t="shared" si="17"/>
        <v>0</v>
      </c>
      <c r="S39" s="12">
        <f t="shared" si="18"/>
        <v>0</v>
      </c>
      <c r="T39" s="12">
        <f t="shared" si="19"/>
        <v>0</v>
      </c>
      <c r="U39" s="12">
        <f t="shared" si="20"/>
        <v>0</v>
      </c>
      <c r="V39" s="13">
        <f t="shared" si="21"/>
        <v>0</v>
      </c>
      <c r="W39" s="12">
        <f t="shared" si="22"/>
        <v>0</v>
      </c>
      <c r="X39" s="12">
        <f t="shared" si="28"/>
        <v>0</v>
      </c>
      <c r="Y39" s="12">
        <f t="shared" si="23"/>
        <v>0</v>
      </c>
      <c r="Z39" s="12">
        <f t="shared" si="24"/>
        <v>0</v>
      </c>
      <c r="AA39" s="14">
        <f t="shared" si="25"/>
        <v>0</v>
      </c>
      <c r="AB39" s="12">
        <f t="shared" si="26"/>
        <v>0</v>
      </c>
      <c r="AC39" s="15" t="b">
        <f>IF(OR(A39="",B39=""),FALSE,SubscribeQuotes(A39,B39))</f>
        <v>0</v>
      </c>
      <c r="AD39" s="13">
        <f t="shared" si="27"/>
        <v>0</v>
      </c>
    </row>
    <row r="40" spans="1:30">
      <c r="A40" s="9"/>
      <c r="B40" s="9"/>
      <c r="C40" s="10" t="str">
        <f t="shared" si="2"/>
        <v/>
      </c>
      <c r="D40" s="12">
        <f t="shared" si="3"/>
        <v>0</v>
      </c>
      <c r="E40" s="13">
        <f t="shared" si="4"/>
        <v>0</v>
      </c>
      <c r="F40" s="12">
        <f t="shared" si="5"/>
        <v>0</v>
      </c>
      <c r="G40" s="12">
        <f t="shared" si="6"/>
        <v>0</v>
      </c>
      <c r="H40" s="12">
        <f t="shared" si="7"/>
        <v>0</v>
      </c>
      <c r="I40" s="13">
        <f t="shared" si="8"/>
        <v>0</v>
      </c>
      <c r="J40" s="12">
        <f t="shared" si="9"/>
        <v>0</v>
      </c>
      <c r="K40" s="13">
        <f t="shared" si="10"/>
        <v>0</v>
      </c>
      <c r="L40" s="12">
        <f t="shared" si="11"/>
        <v>0</v>
      </c>
      <c r="M40" s="13">
        <f t="shared" si="12"/>
        <v>0</v>
      </c>
      <c r="N40" s="12">
        <f t="shared" si="13"/>
        <v>0</v>
      </c>
      <c r="O40" s="13">
        <f t="shared" si="14"/>
        <v>0</v>
      </c>
      <c r="P40" s="13">
        <f t="shared" si="15"/>
        <v>0</v>
      </c>
      <c r="Q40" s="13">
        <f t="shared" si="16"/>
        <v>0</v>
      </c>
      <c r="R40" s="12">
        <f t="shared" si="17"/>
        <v>0</v>
      </c>
      <c r="S40" s="12">
        <f t="shared" si="18"/>
        <v>0</v>
      </c>
      <c r="T40" s="12">
        <f t="shared" si="19"/>
        <v>0</v>
      </c>
      <c r="U40" s="12">
        <f t="shared" si="20"/>
        <v>0</v>
      </c>
      <c r="V40" s="13">
        <f t="shared" si="21"/>
        <v>0</v>
      </c>
      <c r="W40" s="12">
        <f t="shared" si="22"/>
        <v>0</v>
      </c>
      <c r="X40" s="12">
        <f t="shared" si="28"/>
        <v>0</v>
      </c>
      <c r="Y40" s="12">
        <f t="shared" si="23"/>
        <v>0</v>
      </c>
      <c r="Z40" s="12">
        <f t="shared" si="24"/>
        <v>0</v>
      </c>
      <c r="AA40" s="14">
        <f t="shared" si="25"/>
        <v>0</v>
      </c>
      <c r="AB40" s="12">
        <f t="shared" si="26"/>
        <v>0</v>
      </c>
      <c r="AC40" s="15" t="b">
        <f>IF(OR(A40="",B40=""),FALSE,SubscribeQuotes(A40,B40))</f>
        <v>0</v>
      </c>
      <c r="AD40" s="13">
        <f t="shared" si="27"/>
        <v>0</v>
      </c>
    </row>
    <row r="41" spans="1:30">
      <c r="A41" s="9"/>
      <c r="B41" s="9"/>
      <c r="C41" s="10" t="str">
        <f t="shared" si="2"/>
        <v/>
      </c>
      <c r="D41" s="12">
        <f t="shared" si="3"/>
        <v>0</v>
      </c>
      <c r="E41" s="13">
        <f t="shared" si="4"/>
        <v>0</v>
      </c>
      <c r="F41" s="12">
        <f t="shared" si="5"/>
        <v>0</v>
      </c>
      <c r="G41" s="12">
        <f t="shared" si="6"/>
        <v>0</v>
      </c>
      <c r="H41" s="12">
        <f t="shared" si="7"/>
        <v>0</v>
      </c>
      <c r="I41" s="13">
        <f t="shared" si="8"/>
        <v>0</v>
      </c>
      <c r="J41" s="12">
        <f t="shared" si="9"/>
        <v>0</v>
      </c>
      <c r="K41" s="13">
        <f t="shared" si="10"/>
        <v>0</v>
      </c>
      <c r="L41" s="12">
        <f t="shared" si="11"/>
        <v>0</v>
      </c>
      <c r="M41" s="13">
        <f t="shared" si="12"/>
        <v>0</v>
      </c>
      <c r="N41" s="12">
        <f t="shared" si="13"/>
        <v>0</v>
      </c>
      <c r="O41" s="13">
        <f t="shared" si="14"/>
        <v>0</v>
      </c>
      <c r="P41" s="13">
        <f t="shared" si="15"/>
        <v>0</v>
      </c>
      <c r="Q41" s="13">
        <f t="shared" si="16"/>
        <v>0</v>
      </c>
      <c r="R41" s="12">
        <f t="shared" si="17"/>
        <v>0</v>
      </c>
      <c r="S41" s="12">
        <f t="shared" si="18"/>
        <v>0</v>
      </c>
      <c r="T41" s="12">
        <f t="shared" si="19"/>
        <v>0</v>
      </c>
      <c r="U41" s="12">
        <f t="shared" si="20"/>
        <v>0</v>
      </c>
      <c r="V41" s="13">
        <f t="shared" si="21"/>
        <v>0</v>
      </c>
      <c r="W41" s="12">
        <f t="shared" si="22"/>
        <v>0</v>
      </c>
      <c r="X41" s="12">
        <f t="shared" si="28"/>
        <v>0</v>
      </c>
      <c r="Y41" s="12">
        <f t="shared" si="23"/>
        <v>0</v>
      </c>
      <c r="Z41" s="12">
        <f t="shared" si="24"/>
        <v>0</v>
      </c>
      <c r="AA41" s="14">
        <f t="shared" si="25"/>
        <v>0</v>
      </c>
      <c r="AB41" s="12">
        <f t="shared" si="26"/>
        <v>0</v>
      </c>
      <c r="AC41" s="15" t="b">
        <f>IF(OR(A41="",B41=""),FALSE,SubscribeQuotes(A41,B41))</f>
        <v>0</v>
      </c>
      <c r="AD41" s="13">
        <f t="shared" si="27"/>
        <v>0</v>
      </c>
    </row>
    <row r="42" spans="1:30">
      <c r="A42" s="9"/>
      <c r="B42" s="9"/>
      <c r="C42" s="10" t="str">
        <f t="shared" si="2"/>
        <v/>
      </c>
      <c r="D42" s="12">
        <f t="shared" si="3"/>
        <v>0</v>
      </c>
      <c r="E42" s="13">
        <f t="shared" si="4"/>
        <v>0</v>
      </c>
      <c r="F42" s="12">
        <f t="shared" si="5"/>
        <v>0</v>
      </c>
      <c r="G42" s="12">
        <f t="shared" si="6"/>
        <v>0</v>
      </c>
      <c r="H42" s="12">
        <f t="shared" si="7"/>
        <v>0</v>
      </c>
      <c r="I42" s="13">
        <f t="shared" si="8"/>
        <v>0</v>
      </c>
      <c r="J42" s="12">
        <f t="shared" si="9"/>
        <v>0</v>
      </c>
      <c r="K42" s="13">
        <f t="shared" si="10"/>
        <v>0</v>
      </c>
      <c r="L42" s="12">
        <f t="shared" si="11"/>
        <v>0</v>
      </c>
      <c r="M42" s="13">
        <f t="shared" si="12"/>
        <v>0</v>
      </c>
      <c r="N42" s="12">
        <f t="shared" si="13"/>
        <v>0</v>
      </c>
      <c r="O42" s="13">
        <f t="shared" si="14"/>
        <v>0</v>
      </c>
      <c r="P42" s="13">
        <f t="shared" si="15"/>
        <v>0</v>
      </c>
      <c r="Q42" s="13">
        <f t="shared" si="16"/>
        <v>0</v>
      </c>
      <c r="R42" s="12">
        <f t="shared" si="17"/>
        <v>0</v>
      </c>
      <c r="S42" s="12">
        <f t="shared" si="18"/>
        <v>0</v>
      </c>
      <c r="T42" s="12">
        <f t="shared" si="19"/>
        <v>0</v>
      </c>
      <c r="U42" s="12">
        <f t="shared" si="20"/>
        <v>0</v>
      </c>
      <c r="V42" s="13">
        <f t="shared" si="21"/>
        <v>0</v>
      </c>
      <c r="W42" s="12">
        <f t="shared" si="22"/>
        <v>0</v>
      </c>
      <c r="X42" s="12">
        <f t="shared" si="28"/>
        <v>0</v>
      </c>
      <c r="Y42" s="12">
        <f t="shared" si="23"/>
        <v>0</v>
      </c>
      <c r="Z42" s="12">
        <f t="shared" si="24"/>
        <v>0</v>
      </c>
      <c r="AA42" s="14">
        <f t="shared" si="25"/>
        <v>0</v>
      </c>
      <c r="AB42" s="12">
        <f t="shared" si="26"/>
        <v>0</v>
      </c>
      <c r="AC42" s="15" t="b">
        <f>IF(OR(A42="",B42=""),FALSE,SubscribeQuotes(A42,B42))</f>
        <v>0</v>
      </c>
      <c r="AD42" s="13">
        <f t="shared" si="27"/>
        <v>0</v>
      </c>
    </row>
    <row r="43" spans="1:30">
      <c r="A43" s="9"/>
      <c r="B43" s="9"/>
      <c r="C43" s="10" t="str">
        <f t="shared" si="2"/>
        <v/>
      </c>
      <c r="D43" s="12">
        <f t="shared" si="3"/>
        <v>0</v>
      </c>
      <c r="E43" s="13">
        <f t="shared" si="4"/>
        <v>0</v>
      </c>
      <c r="F43" s="12">
        <f t="shared" si="5"/>
        <v>0</v>
      </c>
      <c r="G43" s="12">
        <f t="shared" si="6"/>
        <v>0</v>
      </c>
      <c r="H43" s="12">
        <f t="shared" si="7"/>
        <v>0</v>
      </c>
      <c r="I43" s="13">
        <f t="shared" si="8"/>
        <v>0</v>
      </c>
      <c r="J43" s="12">
        <f t="shared" si="9"/>
        <v>0</v>
      </c>
      <c r="K43" s="13">
        <f t="shared" si="10"/>
        <v>0</v>
      </c>
      <c r="L43" s="12">
        <f t="shared" si="11"/>
        <v>0</v>
      </c>
      <c r="M43" s="13">
        <f t="shared" si="12"/>
        <v>0</v>
      </c>
      <c r="N43" s="12">
        <f t="shared" si="13"/>
        <v>0</v>
      </c>
      <c r="O43" s="13">
        <f t="shared" si="14"/>
        <v>0</v>
      </c>
      <c r="P43" s="13">
        <f t="shared" si="15"/>
        <v>0</v>
      </c>
      <c r="Q43" s="13">
        <f t="shared" si="16"/>
        <v>0</v>
      </c>
      <c r="R43" s="12">
        <f t="shared" si="17"/>
        <v>0</v>
      </c>
      <c r="S43" s="12">
        <f t="shared" si="18"/>
        <v>0</v>
      </c>
      <c r="T43" s="12">
        <f t="shared" si="19"/>
        <v>0</v>
      </c>
      <c r="U43" s="12">
        <f t="shared" si="20"/>
        <v>0</v>
      </c>
      <c r="V43" s="13">
        <f t="shared" si="21"/>
        <v>0</v>
      </c>
      <c r="W43" s="12">
        <f t="shared" si="22"/>
        <v>0</v>
      </c>
      <c r="X43" s="12">
        <f t="shared" si="28"/>
        <v>0</v>
      </c>
      <c r="Y43" s="12">
        <f t="shared" si="23"/>
        <v>0</v>
      </c>
      <c r="Z43" s="12">
        <f t="shared" si="24"/>
        <v>0</v>
      </c>
      <c r="AA43" s="14">
        <f t="shared" si="25"/>
        <v>0</v>
      </c>
      <c r="AB43" s="12">
        <f t="shared" si="26"/>
        <v>0</v>
      </c>
      <c r="AC43" s="15" t="b">
        <f>IF(OR(A43="",B43=""),FALSE,SubscribeQuotes(A43,B43))</f>
        <v>0</v>
      </c>
      <c r="AD43" s="13">
        <f t="shared" si="27"/>
        <v>0</v>
      </c>
    </row>
    <row r="44" spans="1:30">
      <c r="A44" s="9"/>
      <c r="B44" s="9"/>
      <c r="C44" s="10" t="str">
        <f t="shared" si="2"/>
        <v/>
      </c>
      <c r="D44" s="12">
        <f t="shared" si="3"/>
        <v>0</v>
      </c>
      <c r="E44" s="13">
        <f t="shared" si="4"/>
        <v>0</v>
      </c>
      <c r="F44" s="12">
        <f t="shared" si="5"/>
        <v>0</v>
      </c>
      <c r="G44" s="12">
        <f t="shared" si="6"/>
        <v>0</v>
      </c>
      <c r="H44" s="12">
        <f t="shared" si="7"/>
        <v>0</v>
      </c>
      <c r="I44" s="13">
        <f t="shared" si="8"/>
        <v>0</v>
      </c>
      <c r="J44" s="12">
        <f t="shared" si="9"/>
        <v>0</v>
      </c>
      <c r="K44" s="13">
        <f t="shared" si="10"/>
        <v>0</v>
      </c>
      <c r="L44" s="12">
        <f t="shared" si="11"/>
        <v>0</v>
      </c>
      <c r="M44" s="13">
        <f t="shared" si="12"/>
        <v>0</v>
      </c>
      <c r="N44" s="12">
        <f t="shared" si="13"/>
        <v>0</v>
      </c>
      <c r="O44" s="13">
        <f t="shared" si="14"/>
        <v>0</v>
      </c>
      <c r="P44" s="13">
        <f t="shared" si="15"/>
        <v>0</v>
      </c>
      <c r="Q44" s="13">
        <f t="shared" si="16"/>
        <v>0</v>
      </c>
      <c r="R44" s="12">
        <f t="shared" si="17"/>
        <v>0</v>
      </c>
      <c r="S44" s="12">
        <f t="shared" si="18"/>
        <v>0</v>
      </c>
      <c r="T44" s="12">
        <f t="shared" si="19"/>
        <v>0</v>
      </c>
      <c r="U44" s="12">
        <f t="shared" si="20"/>
        <v>0</v>
      </c>
      <c r="V44" s="13">
        <f t="shared" si="21"/>
        <v>0</v>
      </c>
      <c r="W44" s="12">
        <f t="shared" si="22"/>
        <v>0</v>
      </c>
      <c r="X44" s="12">
        <f t="shared" si="28"/>
        <v>0</v>
      </c>
      <c r="Y44" s="12">
        <f t="shared" si="23"/>
        <v>0</v>
      </c>
      <c r="Z44" s="12">
        <f t="shared" si="24"/>
        <v>0</v>
      </c>
      <c r="AA44" s="14">
        <f t="shared" si="25"/>
        <v>0</v>
      </c>
      <c r="AB44" s="12">
        <f t="shared" si="26"/>
        <v>0</v>
      </c>
      <c r="AC44" s="15" t="b">
        <f>IF(OR(A44="",B44=""),FALSE,SubscribeQuotes(A44,B44))</f>
        <v>0</v>
      </c>
      <c r="AD44" s="13">
        <f t="shared" si="27"/>
        <v>0</v>
      </c>
    </row>
    <row r="45" spans="1:30">
      <c r="A45" s="9"/>
      <c r="B45" s="9"/>
      <c r="C45" s="10" t="str">
        <f t="shared" si="2"/>
        <v/>
      </c>
      <c r="D45" s="12">
        <f t="shared" si="3"/>
        <v>0</v>
      </c>
      <c r="E45" s="13">
        <f t="shared" si="4"/>
        <v>0</v>
      </c>
      <c r="F45" s="12">
        <f t="shared" si="5"/>
        <v>0</v>
      </c>
      <c r="G45" s="12">
        <f t="shared" si="6"/>
        <v>0</v>
      </c>
      <c r="H45" s="12">
        <f t="shared" si="7"/>
        <v>0</v>
      </c>
      <c r="I45" s="13">
        <f t="shared" si="8"/>
        <v>0</v>
      </c>
      <c r="J45" s="12">
        <f t="shared" si="9"/>
        <v>0</v>
      </c>
      <c r="K45" s="13">
        <f t="shared" si="10"/>
        <v>0</v>
      </c>
      <c r="L45" s="12">
        <f t="shared" si="11"/>
        <v>0</v>
      </c>
      <c r="M45" s="13">
        <f t="shared" si="12"/>
        <v>0</v>
      </c>
      <c r="N45" s="12">
        <f t="shared" si="13"/>
        <v>0</v>
      </c>
      <c r="O45" s="13">
        <f t="shared" si="14"/>
        <v>0</v>
      </c>
      <c r="P45" s="13">
        <f t="shared" si="15"/>
        <v>0</v>
      </c>
      <c r="Q45" s="13">
        <f t="shared" si="16"/>
        <v>0</v>
      </c>
      <c r="R45" s="12">
        <f t="shared" si="17"/>
        <v>0</v>
      </c>
      <c r="S45" s="12">
        <f t="shared" si="18"/>
        <v>0</v>
      </c>
      <c r="T45" s="12">
        <f t="shared" si="19"/>
        <v>0</v>
      </c>
      <c r="U45" s="12">
        <f t="shared" si="20"/>
        <v>0</v>
      </c>
      <c r="V45" s="13">
        <f t="shared" si="21"/>
        <v>0</v>
      </c>
      <c r="W45" s="12">
        <f t="shared" si="22"/>
        <v>0</v>
      </c>
      <c r="X45" s="12">
        <f t="shared" si="28"/>
        <v>0</v>
      </c>
      <c r="Y45" s="12">
        <f t="shared" si="23"/>
        <v>0</v>
      </c>
      <c r="Z45" s="12">
        <f t="shared" si="24"/>
        <v>0</v>
      </c>
      <c r="AA45" s="14">
        <f t="shared" si="25"/>
        <v>0</v>
      </c>
      <c r="AB45" s="12">
        <f t="shared" si="26"/>
        <v>0</v>
      </c>
      <c r="AC45" s="15" t="b">
        <f>IF(OR(A45="",B45=""),FALSE,SubscribeQuotes(A45,B45))</f>
        <v>0</v>
      </c>
      <c r="AD45" s="13">
        <f t="shared" si="27"/>
        <v>0</v>
      </c>
    </row>
    <row r="46" spans="1:30">
      <c r="A46" s="9"/>
      <c r="B46" s="9"/>
      <c r="C46" s="10" t="str">
        <f t="shared" si="2"/>
        <v/>
      </c>
      <c r="D46" s="12">
        <f t="shared" si="3"/>
        <v>0</v>
      </c>
      <c r="E46" s="13">
        <f t="shared" si="4"/>
        <v>0</v>
      </c>
      <c r="F46" s="12">
        <f t="shared" si="5"/>
        <v>0</v>
      </c>
      <c r="G46" s="12">
        <f t="shared" si="6"/>
        <v>0</v>
      </c>
      <c r="H46" s="12">
        <f t="shared" si="7"/>
        <v>0</v>
      </c>
      <c r="I46" s="13">
        <f t="shared" si="8"/>
        <v>0</v>
      </c>
      <c r="J46" s="12">
        <f t="shared" si="9"/>
        <v>0</v>
      </c>
      <c r="K46" s="13">
        <f t="shared" si="10"/>
        <v>0</v>
      </c>
      <c r="L46" s="12">
        <f t="shared" si="11"/>
        <v>0</v>
      </c>
      <c r="M46" s="13">
        <f t="shared" si="12"/>
        <v>0</v>
      </c>
      <c r="N46" s="12">
        <f t="shared" si="13"/>
        <v>0</v>
      </c>
      <c r="O46" s="13">
        <f t="shared" si="14"/>
        <v>0</v>
      </c>
      <c r="P46" s="13">
        <f t="shared" si="15"/>
        <v>0</v>
      </c>
      <c r="Q46" s="13">
        <f t="shared" si="16"/>
        <v>0</v>
      </c>
      <c r="R46" s="12">
        <f t="shared" si="17"/>
        <v>0</v>
      </c>
      <c r="S46" s="12">
        <f t="shared" si="18"/>
        <v>0</v>
      </c>
      <c r="T46" s="12">
        <f t="shared" si="19"/>
        <v>0</v>
      </c>
      <c r="U46" s="12">
        <f t="shared" si="20"/>
        <v>0</v>
      </c>
      <c r="V46" s="13">
        <f t="shared" si="21"/>
        <v>0</v>
      </c>
      <c r="W46" s="12">
        <f t="shared" si="22"/>
        <v>0</v>
      </c>
      <c r="X46" s="12">
        <f t="shared" si="28"/>
        <v>0</v>
      </c>
      <c r="Y46" s="12">
        <f t="shared" si="23"/>
        <v>0</v>
      </c>
      <c r="Z46" s="12">
        <f t="shared" si="24"/>
        <v>0</v>
      </c>
      <c r="AA46" s="14">
        <f t="shared" si="25"/>
        <v>0</v>
      </c>
      <c r="AB46" s="12">
        <f t="shared" si="26"/>
        <v>0</v>
      </c>
      <c r="AC46" s="15" t="b">
        <f>IF(OR(A46="",B46=""),FALSE,SubscribeQuotes(A46,B46))</f>
        <v>0</v>
      </c>
      <c r="AD46" s="13">
        <f t="shared" si="27"/>
        <v>0</v>
      </c>
    </row>
    <row r="47" spans="1:30">
      <c r="A47" s="9"/>
      <c r="B47" s="9"/>
      <c r="C47" s="10" t="str">
        <f t="shared" si="2"/>
        <v/>
      </c>
      <c r="D47" s="12">
        <f t="shared" si="3"/>
        <v>0</v>
      </c>
      <c r="E47" s="13">
        <f t="shared" si="4"/>
        <v>0</v>
      </c>
      <c r="F47" s="12">
        <f t="shared" si="5"/>
        <v>0</v>
      </c>
      <c r="G47" s="12">
        <f t="shared" si="6"/>
        <v>0</v>
      </c>
      <c r="H47" s="12">
        <f t="shared" si="7"/>
        <v>0</v>
      </c>
      <c r="I47" s="13">
        <f t="shared" si="8"/>
        <v>0</v>
      </c>
      <c r="J47" s="12">
        <f t="shared" si="9"/>
        <v>0</v>
      </c>
      <c r="K47" s="13">
        <f t="shared" si="10"/>
        <v>0</v>
      </c>
      <c r="L47" s="12">
        <f t="shared" si="11"/>
        <v>0</v>
      </c>
      <c r="M47" s="13">
        <f t="shared" si="12"/>
        <v>0</v>
      </c>
      <c r="N47" s="12">
        <f t="shared" si="13"/>
        <v>0</v>
      </c>
      <c r="O47" s="13">
        <f t="shared" si="14"/>
        <v>0</v>
      </c>
      <c r="P47" s="13">
        <f t="shared" si="15"/>
        <v>0</v>
      </c>
      <c r="Q47" s="13">
        <f t="shared" si="16"/>
        <v>0</v>
      </c>
      <c r="R47" s="12">
        <f t="shared" si="17"/>
        <v>0</v>
      </c>
      <c r="S47" s="12">
        <f t="shared" si="18"/>
        <v>0</v>
      </c>
      <c r="T47" s="12">
        <f t="shared" si="19"/>
        <v>0</v>
      </c>
      <c r="U47" s="12">
        <f t="shared" si="20"/>
        <v>0</v>
      </c>
      <c r="V47" s="13">
        <f t="shared" si="21"/>
        <v>0</v>
      </c>
      <c r="W47" s="12">
        <f t="shared" si="22"/>
        <v>0</v>
      </c>
      <c r="X47" s="12">
        <f t="shared" si="28"/>
        <v>0</v>
      </c>
      <c r="Y47" s="12">
        <f t="shared" si="23"/>
        <v>0</v>
      </c>
      <c r="Z47" s="12">
        <f t="shared" si="24"/>
        <v>0</v>
      </c>
      <c r="AA47" s="14">
        <f t="shared" si="25"/>
        <v>0</v>
      </c>
      <c r="AB47" s="12">
        <f t="shared" si="26"/>
        <v>0</v>
      </c>
      <c r="AC47" s="15" t="b">
        <f>IF(OR(A47="",B47=""),FALSE,SubscribeQuotes(A47,B47))</f>
        <v>0</v>
      </c>
      <c r="AD47" s="13">
        <f t="shared" si="27"/>
        <v>0</v>
      </c>
    </row>
    <row r="48" spans="1:30">
      <c r="A48" s="9"/>
      <c r="B48" s="9"/>
      <c r="C48" s="10" t="str">
        <f t="shared" si="2"/>
        <v/>
      </c>
      <c r="D48" s="12">
        <f t="shared" si="3"/>
        <v>0</v>
      </c>
      <c r="E48" s="13">
        <f t="shared" si="4"/>
        <v>0</v>
      </c>
      <c r="F48" s="12">
        <f t="shared" si="5"/>
        <v>0</v>
      </c>
      <c r="G48" s="12">
        <f t="shared" si="6"/>
        <v>0</v>
      </c>
      <c r="H48" s="12">
        <f t="shared" si="7"/>
        <v>0</v>
      </c>
      <c r="I48" s="13">
        <f t="shared" si="8"/>
        <v>0</v>
      </c>
      <c r="J48" s="12">
        <f t="shared" si="9"/>
        <v>0</v>
      </c>
      <c r="K48" s="13">
        <f t="shared" si="10"/>
        <v>0</v>
      </c>
      <c r="L48" s="12">
        <f t="shared" si="11"/>
        <v>0</v>
      </c>
      <c r="M48" s="13">
        <f t="shared" si="12"/>
        <v>0</v>
      </c>
      <c r="N48" s="12">
        <f t="shared" si="13"/>
        <v>0</v>
      </c>
      <c r="O48" s="13">
        <f t="shared" si="14"/>
        <v>0</v>
      </c>
      <c r="P48" s="13">
        <f t="shared" si="15"/>
        <v>0</v>
      </c>
      <c r="Q48" s="13">
        <f t="shared" si="16"/>
        <v>0</v>
      </c>
      <c r="R48" s="12">
        <f t="shared" si="17"/>
        <v>0</v>
      </c>
      <c r="S48" s="12">
        <f t="shared" si="18"/>
        <v>0</v>
      </c>
      <c r="T48" s="12">
        <f t="shared" si="19"/>
        <v>0</v>
      </c>
      <c r="U48" s="12">
        <f t="shared" si="20"/>
        <v>0</v>
      </c>
      <c r="V48" s="13">
        <f t="shared" si="21"/>
        <v>0</v>
      </c>
      <c r="W48" s="12">
        <f t="shared" si="22"/>
        <v>0</v>
      </c>
      <c r="X48" s="12">
        <f t="shared" si="28"/>
        <v>0</v>
      </c>
      <c r="Y48" s="12">
        <f t="shared" si="23"/>
        <v>0</v>
      </c>
      <c r="Z48" s="12">
        <f t="shared" si="24"/>
        <v>0</v>
      </c>
      <c r="AA48" s="14">
        <f t="shared" si="25"/>
        <v>0</v>
      </c>
      <c r="AB48" s="12">
        <f t="shared" si="26"/>
        <v>0</v>
      </c>
      <c r="AC48" s="15" t="b">
        <f>IF(OR(A48="",B48=""),FALSE,SubscribeQuotes(A48,B48))</f>
        <v>0</v>
      </c>
      <c r="AD48" s="13">
        <f t="shared" si="27"/>
        <v>0</v>
      </c>
    </row>
    <row r="49" spans="1:30">
      <c r="A49" s="9"/>
      <c r="B49" s="9"/>
      <c r="C49" s="10" t="str">
        <f t="shared" si="2"/>
        <v/>
      </c>
      <c r="D49" s="12">
        <f t="shared" si="3"/>
        <v>0</v>
      </c>
      <c r="E49" s="13">
        <f t="shared" si="4"/>
        <v>0</v>
      </c>
      <c r="F49" s="12">
        <f t="shared" si="5"/>
        <v>0</v>
      </c>
      <c r="G49" s="12">
        <f t="shared" si="6"/>
        <v>0</v>
      </c>
      <c r="H49" s="12">
        <f t="shared" si="7"/>
        <v>0</v>
      </c>
      <c r="I49" s="13">
        <f t="shared" si="8"/>
        <v>0</v>
      </c>
      <c r="J49" s="12">
        <f t="shared" si="9"/>
        <v>0</v>
      </c>
      <c r="K49" s="13">
        <f t="shared" si="10"/>
        <v>0</v>
      </c>
      <c r="L49" s="12">
        <f t="shared" si="11"/>
        <v>0</v>
      </c>
      <c r="M49" s="13">
        <f t="shared" si="12"/>
        <v>0</v>
      </c>
      <c r="N49" s="12">
        <f t="shared" si="13"/>
        <v>0</v>
      </c>
      <c r="O49" s="13">
        <f t="shared" si="14"/>
        <v>0</v>
      </c>
      <c r="P49" s="13">
        <f t="shared" si="15"/>
        <v>0</v>
      </c>
      <c r="Q49" s="13">
        <f t="shared" si="16"/>
        <v>0</v>
      </c>
      <c r="R49" s="12">
        <f t="shared" si="17"/>
        <v>0</v>
      </c>
      <c r="S49" s="12">
        <f t="shared" si="18"/>
        <v>0</v>
      </c>
      <c r="T49" s="12">
        <f t="shared" si="19"/>
        <v>0</v>
      </c>
      <c r="U49" s="12">
        <f t="shared" si="20"/>
        <v>0</v>
      </c>
      <c r="V49" s="13">
        <f t="shared" si="21"/>
        <v>0</v>
      </c>
      <c r="W49" s="12">
        <f t="shared" si="22"/>
        <v>0</v>
      </c>
      <c r="X49" s="12">
        <f t="shared" si="28"/>
        <v>0</v>
      </c>
      <c r="Y49" s="12">
        <f t="shared" si="23"/>
        <v>0</v>
      </c>
      <c r="Z49" s="12">
        <f t="shared" si="24"/>
        <v>0</v>
      </c>
      <c r="AA49" s="14">
        <f t="shared" si="25"/>
        <v>0</v>
      </c>
      <c r="AB49" s="12">
        <f t="shared" si="26"/>
        <v>0</v>
      </c>
      <c r="AC49" s="15" t="b">
        <f>IF(OR(A49="",B49=""),FALSE,SubscribeQuotes(A49,B49))</f>
        <v>0</v>
      </c>
      <c r="AD49" s="13">
        <f t="shared" si="27"/>
        <v>0</v>
      </c>
    </row>
    <row r="50" spans="1:30">
      <c r="A50" s="9"/>
      <c r="B50" s="9"/>
      <c r="C50" s="10" t="str">
        <f t="shared" si="2"/>
        <v/>
      </c>
      <c r="D50" s="12">
        <f t="shared" si="3"/>
        <v>0</v>
      </c>
      <c r="E50" s="13">
        <f t="shared" si="4"/>
        <v>0</v>
      </c>
      <c r="F50" s="12">
        <f t="shared" si="5"/>
        <v>0</v>
      </c>
      <c r="G50" s="12">
        <f t="shared" si="6"/>
        <v>0</v>
      </c>
      <c r="H50" s="12">
        <f t="shared" si="7"/>
        <v>0</v>
      </c>
      <c r="I50" s="13">
        <f t="shared" si="8"/>
        <v>0</v>
      </c>
      <c r="J50" s="12">
        <f t="shared" si="9"/>
        <v>0</v>
      </c>
      <c r="K50" s="13">
        <f t="shared" si="10"/>
        <v>0</v>
      </c>
      <c r="L50" s="12">
        <f t="shared" si="11"/>
        <v>0</v>
      </c>
      <c r="M50" s="13">
        <f t="shared" si="12"/>
        <v>0</v>
      </c>
      <c r="N50" s="12">
        <f t="shared" si="13"/>
        <v>0</v>
      </c>
      <c r="O50" s="13">
        <f t="shared" si="14"/>
        <v>0</v>
      </c>
      <c r="P50" s="13">
        <f t="shared" si="15"/>
        <v>0</v>
      </c>
      <c r="Q50" s="13">
        <f t="shared" si="16"/>
        <v>0</v>
      </c>
      <c r="R50" s="12">
        <f t="shared" si="17"/>
        <v>0</v>
      </c>
      <c r="S50" s="12">
        <f t="shared" si="18"/>
        <v>0</v>
      </c>
      <c r="T50" s="12">
        <f t="shared" si="19"/>
        <v>0</v>
      </c>
      <c r="U50" s="12">
        <f t="shared" si="20"/>
        <v>0</v>
      </c>
      <c r="V50" s="13">
        <f t="shared" si="21"/>
        <v>0</v>
      </c>
      <c r="W50" s="12">
        <f t="shared" si="22"/>
        <v>0</v>
      </c>
      <c r="X50" s="12">
        <f t="shared" si="28"/>
        <v>0</v>
      </c>
      <c r="Y50" s="12">
        <f t="shared" si="23"/>
        <v>0</v>
      </c>
      <c r="Z50" s="12">
        <f t="shared" si="24"/>
        <v>0</v>
      </c>
      <c r="AA50" s="14">
        <f t="shared" si="25"/>
        <v>0</v>
      </c>
      <c r="AB50" s="12">
        <f t="shared" si="26"/>
        <v>0</v>
      </c>
      <c r="AC50" s="15" t="b">
        <f>IF(OR(A50="",B50=""),FALSE,SubscribeQuotes(A50,B50))</f>
        <v>0</v>
      </c>
      <c r="AD50" s="13">
        <f t="shared" si="27"/>
        <v>0</v>
      </c>
    </row>
    <row r="51" spans="1:30">
      <c r="A51" s="9"/>
      <c r="B51" s="9"/>
      <c r="C51" s="10" t="str">
        <f t="shared" si="2"/>
        <v/>
      </c>
      <c r="D51" s="12">
        <f t="shared" si="3"/>
        <v>0</v>
      </c>
      <c r="E51" s="13">
        <f t="shared" si="4"/>
        <v>0</v>
      </c>
      <c r="F51" s="12">
        <f t="shared" si="5"/>
        <v>0</v>
      </c>
      <c r="G51" s="12">
        <f t="shared" si="6"/>
        <v>0</v>
      </c>
      <c r="H51" s="12">
        <f t="shared" si="7"/>
        <v>0</v>
      </c>
      <c r="I51" s="13">
        <f t="shared" si="8"/>
        <v>0</v>
      </c>
      <c r="J51" s="12">
        <f t="shared" si="9"/>
        <v>0</v>
      </c>
      <c r="K51" s="13">
        <f t="shared" si="10"/>
        <v>0</v>
      </c>
      <c r="L51" s="12">
        <f t="shared" si="11"/>
        <v>0</v>
      </c>
      <c r="M51" s="13">
        <f t="shared" si="12"/>
        <v>0</v>
      </c>
      <c r="N51" s="12">
        <f t="shared" si="13"/>
        <v>0</v>
      </c>
      <c r="O51" s="13">
        <f t="shared" si="14"/>
        <v>0</v>
      </c>
      <c r="P51" s="13">
        <f t="shared" si="15"/>
        <v>0</v>
      </c>
      <c r="Q51" s="13">
        <f t="shared" si="16"/>
        <v>0</v>
      </c>
      <c r="R51" s="12">
        <f t="shared" si="17"/>
        <v>0</v>
      </c>
      <c r="S51" s="12">
        <f t="shared" si="18"/>
        <v>0</v>
      </c>
      <c r="T51" s="12">
        <f t="shared" si="19"/>
        <v>0</v>
      </c>
      <c r="U51" s="12">
        <f t="shared" si="20"/>
        <v>0</v>
      </c>
      <c r="V51" s="13">
        <f t="shared" si="21"/>
        <v>0</v>
      </c>
      <c r="W51" s="12">
        <f t="shared" si="22"/>
        <v>0</v>
      </c>
      <c r="X51" s="12">
        <f t="shared" si="28"/>
        <v>0</v>
      </c>
      <c r="Y51" s="12">
        <f t="shared" si="23"/>
        <v>0</v>
      </c>
      <c r="Z51" s="12">
        <f t="shared" si="24"/>
        <v>0</v>
      </c>
      <c r="AA51" s="14">
        <f t="shared" si="25"/>
        <v>0</v>
      </c>
      <c r="AB51" s="12">
        <f t="shared" si="26"/>
        <v>0</v>
      </c>
      <c r="AC51" s="15" t="b">
        <f>IF(OR(A51="",B51=""),FALSE,SubscribeQuotes(A51,B51))</f>
        <v>0</v>
      </c>
      <c r="AD51" s="13">
        <f t="shared" si="27"/>
        <v>0</v>
      </c>
    </row>
    <row r="52" spans="1:30">
      <c r="A52" s="9"/>
      <c r="B52" s="9"/>
      <c r="C52" s="10" t="str">
        <f t="shared" si="2"/>
        <v/>
      </c>
      <c r="D52" s="12">
        <f t="shared" si="3"/>
        <v>0</v>
      </c>
      <c r="E52" s="13">
        <f t="shared" si="4"/>
        <v>0</v>
      </c>
      <c r="F52" s="12">
        <f t="shared" si="5"/>
        <v>0</v>
      </c>
      <c r="G52" s="12">
        <f t="shared" si="6"/>
        <v>0</v>
      </c>
      <c r="H52" s="12">
        <f t="shared" si="7"/>
        <v>0</v>
      </c>
      <c r="I52" s="13">
        <f t="shared" si="8"/>
        <v>0</v>
      </c>
      <c r="J52" s="12">
        <f t="shared" si="9"/>
        <v>0</v>
      </c>
      <c r="K52" s="13">
        <f t="shared" si="10"/>
        <v>0</v>
      </c>
      <c r="L52" s="12">
        <f t="shared" si="11"/>
        <v>0</v>
      </c>
      <c r="M52" s="13">
        <f t="shared" si="12"/>
        <v>0</v>
      </c>
      <c r="N52" s="12">
        <f t="shared" si="13"/>
        <v>0</v>
      </c>
      <c r="O52" s="13">
        <f t="shared" si="14"/>
        <v>0</v>
      </c>
      <c r="P52" s="13">
        <f t="shared" si="15"/>
        <v>0</v>
      </c>
      <c r="Q52" s="13">
        <f t="shared" si="16"/>
        <v>0</v>
      </c>
      <c r="R52" s="12">
        <f t="shared" si="17"/>
        <v>0</v>
      </c>
      <c r="S52" s="12">
        <f t="shared" si="18"/>
        <v>0</v>
      </c>
      <c r="T52" s="12">
        <f t="shared" si="19"/>
        <v>0</v>
      </c>
      <c r="U52" s="12">
        <f t="shared" si="20"/>
        <v>0</v>
      </c>
      <c r="V52" s="13">
        <f t="shared" si="21"/>
        <v>0</v>
      </c>
      <c r="W52" s="12">
        <f t="shared" si="22"/>
        <v>0</v>
      </c>
      <c r="X52" s="12">
        <f t="shared" si="28"/>
        <v>0</v>
      </c>
      <c r="Y52" s="12">
        <f t="shared" si="23"/>
        <v>0</v>
      </c>
      <c r="Z52" s="12">
        <f t="shared" si="24"/>
        <v>0</v>
      </c>
      <c r="AA52" s="14">
        <f t="shared" si="25"/>
        <v>0</v>
      </c>
      <c r="AB52" s="12">
        <f t="shared" si="26"/>
        <v>0</v>
      </c>
      <c r="AC52" s="15" t="b">
        <f>IF(OR(A52="",B52=""),FALSE,SubscribeQuotes(A52,B52))</f>
        <v>0</v>
      </c>
      <c r="AD52" s="13">
        <f t="shared" si="27"/>
        <v>0</v>
      </c>
    </row>
    <row r="53" spans="1:30">
      <c r="A53" s="9"/>
      <c r="B53" s="9"/>
      <c r="C53" s="10" t="str">
        <f t="shared" si="2"/>
        <v/>
      </c>
      <c r="D53" s="12">
        <f t="shared" si="3"/>
        <v>0</v>
      </c>
      <c r="E53" s="13">
        <f t="shared" si="4"/>
        <v>0</v>
      </c>
      <c r="F53" s="12">
        <f t="shared" si="5"/>
        <v>0</v>
      </c>
      <c r="G53" s="12">
        <f t="shared" si="6"/>
        <v>0</v>
      </c>
      <c r="H53" s="12">
        <f t="shared" si="7"/>
        <v>0</v>
      </c>
      <c r="I53" s="13">
        <f t="shared" si="8"/>
        <v>0</v>
      </c>
      <c r="J53" s="12">
        <f t="shared" si="9"/>
        <v>0</v>
      </c>
      <c r="K53" s="13">
        <f t="shared" si="10"/>
        <v>0</v>
      </c>
      <c r="L53" s="12">
        <f t="shared" si="11"/>
        <v>0</v>
      </c>
      <c r="M53" s="13">
        <f t="shared" si="12"/>
        <v>0</v>
      </c>
      <c r="N53" s="12">
        <f t="shared" si="13"/>
        <v>0</v>
      </c>
      <c r="O53" s="13">
        <f t="shared" si="14"/>
        <v>0</v>
      </c>
      <c r="P53" s="13">
        <f t="shared" si="15"/>
        <v>0</v>
      </c>
      <c r="Q53" s="13">
        <f t="shared" si="16"/>
        <v>0</v>
      </c>
      <c r="R53" s="12">
        <f t="shared" si="17"/>
        <v>0</v>
      </c>
      <c r="S53" s="12">
        <f t="shared" si="18"/>
        <v>0</v>
      </c>
      <c r="T53" s="12">
        <f t="shared" si="19"/>
        <v>0</v>
      </c>
      <c r="U53" s="12">
        <f t="shared" si="20"/>
        <v>0</v>
      </c>
      <c r="V53" s="13">
        <f t="shared" si="21"/>
        <v>0</v>
      </c>
      <c r="W53" s="12">
        <f t="shared" si="22"/>
        <v>0</v>
      </c>
      <c r="X53" s="12">
        <f t="shared" si="28"/>
        <v>0</v>
      </c>
      <c r="Y53" s="12">
        <f t="shared" si="23"/>
        <v>0</v>
      </c>
      <c r="Z53" s="12">
        <f t="shared" si="24"/>
        <v>0</v>
      </c>
      <c r="AA53" s="14">
        <f t="shared" si="25"/>
        <v>0</v>
      </c>
      <c r="AB53" s="12">
        <f t="shared" si="26"/>
        <v>0</v>
      </c>
      <c r="AC53" s="15" t="b">
        <f>IF(OR(A53="",B53=""),FALSE,SubscribeQuotes(A53,B53))</f>
        <v>0</v>
      </c>
      <c r="AD53" s="13">
        <f t="shared" si="27"/>
        <v>0</v>
      </c>
    </row>
    <row r="54" spans="1:30">
      <c r="A54" s="9"/>
      <c r="B54" s="9"/>
      <c r="C54" s="10" t="str">
        <f t="shared" si="2"/>
        <v/>
      </c>
      <c r="D54" s="12">
        <f t="shared" si="3"/>
        <v>0</v>
      </c>
      <c r="E54" s="13">
        <f t="shared" si="4"/>
        <v>0</v>
      </c>
      <c r="F54" s="12">
        <f t="shared" si="5"/>
        <v>0</v>
      </c>
      <c r="G54" s="12">
        <f t="shared" si="6"/>
        <v>0</v>
      </c>
      <c r="H54" s="12">
        <f t="shared" si="7"/>
        <v>0</v>
      </c>
      <c r="I54" s="13">
        <f t="shared" si="8"/>
        <v>0</v>
      </c>
      <c r="J54" s="12">
        <f t="shared" si="9"/>
        <v>0</v>
      </c>
      <c r="K54" s="13">
        <f t="shared" si="10"/>
        <v>0</v>
      </c>
      <c r="L54" s="12">
        <f t="shared" si="11"/>
        <v>0</v>
      </c>
      <c r="M54" s="13">
        <f t="shared" si="12"/>
        <v>0</v>
      </c>
      <c r="N54" s="12">
        <f t="shared" si="13"/>
        <v>0</v>
      </c>
      <c r="O54" s="13">
        <f t="shared" si="14"/>
        <v>0</v>
      </c>
      <c r="P54" s="13">
        <f t="shared" si="15"/>
        <v>0</v>
      </c>
      <c r="Q54" s="13">
        <f t="shared" si="16"/>
        <v>0</v>
      </c>
      <c r="R54" s="12">
        <f t="shared" si="17"/>
        <v>0</v>
      </c>
      <c r="S54" s="12">
        <f t="shared" si="18"/>
        <v>0</v>
      </c>
      <c r="T54" s="12">
        <f t="shared" si="19"/>
        <v>0</v>
      </c>
      <c r="U54" s="12">
        <f t="shared" si="20"/>
        <v>0</v>
      </c>
      <c r="V54" s="13">
        <f t="shared" si="21"/>
        <v>0</v>
      </c>
      <c r="W54" s="12">
        <f t="shared" si="22"/>
        <v>0</v>
      </c>
      <c r="X54" s="12">
        <f t="shared" si="28"/>
        <v>0</v>
      </c>
      <c r="Y54" s="12">
        <f t="shared" si="23"/>
        <v>0</v>
      </c>
      <c r="Z54" s="12">
        <f t="shared" si="24"/>
        <v>0</v>
      </c>
      <c r="AA54" s="14">
        <f t="shared" si="25"/>
        <v>0</v>
      </c>
      <c r="AB54" s="12">
        <f t="shared" si="26"/>
        <v>0</v>
      </c>
      <c r="AC54" s="15" t="b">
        <f>IF(OR(A54="",B54=""),FALSE,SubscribeQuotes(A54,B54))</f>
        <v>0</v>
      </c>
      <c r="AD54" s="13">
        <f t="shared" si="27"/>
        <v>0</v>
      </c>
    </row>
    <row r="55" spans="1:30">
      <c r="A55" s="9"/>
      <c r="B55" s="9"/>
      <c r="C55" s="10" t="str">
        <f t="shared" si="2"/>
        <v/>
      </c>
      <c r="D55" s="12">
        <f t="shared" si="3"/>
        <v>0</v>
      </c>
      <c r="E55" s="13">
        <f t="shared" si="4"/>
        <v>0</v>
      </c>
      <c r="F55" s="12">
        <f t="shared" si="5"/>
        <v>0</v>
      </c>
      <c r="G55" s="12">
        <f t="shared" si="6"/>
        <v>0</v>
      </c>
      <c r="H55" s="12">
        <f t="shared" si="7"/>
        <v>0</v>
      </c>
      <c r="I55" s="13">
        <f t="shared" si="8"/>
        <v>0</v>
      </c>
      <c r="J55" s="12">
        <f t="shared" si="9"/>
        <v>0</v>
      </c>
      <c r="K55" s="13">
        <f t="shared" si="10"/>
        <v>0</v>
      </c>
      <c r="L55" s="12">
        <f t="shared" si="11"/>
        <v>0</v>
      </c>
      <c r="M55" s="13">
        <f t="shared" si="12"/>
        <v>0</v>
      </c>
      <c r="N55" s="12">
        <f t="shared" si="13"/>
        <v>0</v>
      </c>
      <c r="O55" s="13">
        <f t="shared" si="14"/>
        <v>0</v>
      </c>
      <c r="P55" s="13">
        <f t="shared" si="15"/>
        <v>0</v>
      </c>
      <c r="Q55" s="13">
        <f t="shared" si="16"/>
        <v>0</v>
      </c>
      <c r="R55" s="12">
        <f t="shared" si="17"/>
        <v>0</v>
      </c>
      <c r="S55" s="12">
        <f t="shared" si="18"/>
        <v>0</v>
      </c>
      <c r="T55" s="12">
        <f t="shared" si="19"/>
        <v>0</v>
      </c>
      <c r="U55" s="12">
        <f t="shared" si="20"/>
        <v>0</v>
      </c>
      <c r="V55" s="13">
        <f t="shared" si="21"/>
        <v>0</v>
      </c>
      <c r="W55" s="12">
        <f t="shared" si="22"/>
        <v>0</v>
      </c>
      <c r="X55" s="12">
        <f t="shared" si="28"/>
        <v>0</v>
      </c>
      <c r="Y55" s="12">
        <f t="shared" si="23"/>
        <v>0</v>
      </c>
      <c r="Z55" s="12">
        <f t="shared" si="24"/>
        <v>0</v>
      </c>
      <c r="AA55" s="14">
        <f t="shared" si="25"/>
        <v>0</v>
      </c>
      <c r="AB55" s="12">
        <f t="shared" si="26"/>
        <v>0</v>
      </c>
      <c r="AC55" s="15" t="b">
        <f>IF(OR(A55="",B55=""),FALSE,SubscribeQuotes(A55,B55))</f>
        <v>0</v>
      </c>
      <c r="AD55" s="13">
        <f t="shared" si="27"/>
        <v>0</v>
      </c>
    </row>
    <row r="56" spans="1:30">
      <c r="A56" s="9"/>
      <c r="B56" s="9"/>
      <c r="C56" s="10" t="str">
        <f t="shared" si="2"/>
        <v/>
      </c>
      <c r="D56" s="12">
        <f t="shared" si="3"/>
        <v>0</v>
      </c>
      <c r="E56" s="13">
        <f t="shared" si="4"/>
        <v>0</v>
      </c>
      <c r="F56" s="12">
        <f t="shared" si="5"/>
        <v>0</v>
      </c>
      <c r="G56" s="12">
        <f t="shared" si="6"/>
        <v>0</v>
      </c>
      <c r="H56" s="12">
        <f t="shared" si="7"/>
        <v>0</v>
      </c>
      <c r="I56" s="13">
        <f t="shared" si="8"/>
        <v>0</v>
      </c>
      <c r="J56" s="12">
        <f t="shared" si="9"/>
        <v>0</v>
      </c>
      <c r="K56" s="13">
        <f t="shared" si="10"/>
        <v>0</v>
      </c>
      <c r="L56" s="12">
        <f t="shared" si="11"/>
        <v>0</v>
      </c>
      <c r="M56" s="13">
        <f t="shared" si="12"/>
        <v>0</v>
      </c>
      <c r="N56" s="12">
        <f t="shared" si="13"/>
        <v>0</v>
      </c>
      <c r="O56" s="13">
        <f t="shared" si="14"/>
        <v>0</v>
      </c>
      <c r="P56" s="13">
        <f t="shared" si="15"/>
        <v>0</v>
      </c>
      <c r="Q56" s="13">
        <f t="shared" si="16"/>
        <v>0</v>
      </c>
      <c r="R56" s="12">
        <f t="shared" si="17"/>
        <v>0</v>
      </c>
      <c r="S56" s="12">
        <f t="shared" si="18"/>
        <v>0</v>
      </c>
      <c r="T56" s="12">
        <f t="shared" si="19"/>
        <v>0</v>
      </c>
      <c r="U56" s="12">
        <f t="shared" si="20"/>
        <v>0</v>
      </c>
      <c r="V56" s="13">
        <f t="shared" si="21"/>
        <v>0</v>
      </c>
      <c r="W56" s="12">
        <f t="shared" si="22"/>
        <v>0</v>
      </c>
      <c r="X56" s="12">
        <f t="shared" si="28"/>
        <v>0</v>
      </c>
      <c r="Y56" s="12">
        <f t="shared" si="23"/>
        <v>0</v>
      </c>
      <c r="Z56" s="12">
        <f t="shared" si="24"/>
        <v>0</v>
      </c>
      <c r="AA56" s="14">
        <f t="shared" si="25"/>
        <v>0</v>
      </c>
      <c r="AB56" s="12">
        <f t="shared" si="26"/>
        <v>0</v>
      </c>
      <c r="AC56" s="15" t="b">
        <f>IF(OR(A56="",B56=""),FALSE,SubscribeQuotes(A56,B56))</f>
        <v>0</v>
      </c>
      <c r="AD56" s="13">
        <f t="shared" si="27"/>
        <v>0</v>
      </c>
    </row>
    <row r="57" spans="1:30">
      <c r="A57" s="9"/>
      <c r="B57" s="9"/>
      <c r="C57" s="10" t="str">
        <f t="shared" si="2"/>
        <v/>
      </c>
      <c r="D57" s="12">
        <f t="shared" si="3"/>
        <v>0</v>
      </c>
      <c r="E57" s="13">
        <f t="shared" si="4"/>
        <v>0</v>
      </c>
      <c r="F57" s="12">
        <f t="shared" si="5"/>
        <v>0</v>
      </c>
      <c r="G57" s="12">
        <f t="shared" si="6"/>
        <v>0</v>
      </c>
      <c r="H57" s="12">
        <f t="shared" si="7"/>
        <v>0</v>
      </c>
      <c r="I57" s="13">
        <f t="shared" si="8"/>
        <v>0</v>
      </c>
      <c r="J57" s="12">
        <f t="shared" si="9"/>
        <v>0</v>
      </c>
      <c r="K57" s="13">
        <f t="shared" si="10"/>
        <v>0</v>
      </c>
      <c r="L57" s="12">
        <f t="shared" si="11"/>
        <v>0</v>
      </c>
      <c r="M57" s="13">
        <f t="shared" si="12"/>
        <v>0</v>
      </c>
      <c r="N57" s="12">
        <f t="shared" si="13"/>
        <v>0</v>
      </c>
      <c r="O57" s="13">
        <f t="shared" si="14"/>
        <v>0</v>
      </c>
      <c r="P57" s="13">
        <f t="shared" si="15"/>
        <v>0</v>
      </c>
      <c r="Q57" s="13">
        <f t="shared" si="16"/>
        <v>0</v>
      </c>
      <c r="R57" s="12">
        <f t="shared" si="17"/>
        <v>0</v>
      </c>
      <c r="S57" s="12">
        <f t="shared" si="18"/>
        <v>0</v>
      </c>
      <c r="T57" s="12">
        <f t="shared" si="19"/>
        <v>0</v>
      </c>
      <c r="U57" s="12">
        <f t="shared" si="20"/>
        <v>0</v>
      </c>
      <c r="V57" s="13">
        <f t="shared" si="21"/>
        <v>0</v>
      </c>
      <c r="W57" s="12">
        <f t="shared" si="22"/>
        <v>0</v>
      </c>
      <c r="X57" s="12">
        <f t="shared" si="28"/>
        <v>0</v>
      </c>
      <c r="Y57" s="12">
        <f t="shared" si="23"/>
        <v>0</v>
      </c>
      <c r="Z57" s="12">
        <f t="shared" si="24"/>
        <v>0</v>
      </c>
      <c r="AA57" s="14">
        <f t="shared" si="25"/>
        <v>0</v>
      </c>
      <c r="AB57" s="12">
        <f t="shared" si="26"/>
        <v>0</v>
      </c>
      <c r="AC57" s="15" t="b">
        <f>IF(OR(A57="",B57=""),FALSE,SubscribeQuotes(A57,B57))</f>
        <v>0</v>
      </c>
      <c r="AD57" s="13">
        <f t="shared" si="27"/>
        <v>0</v>
      </c>
    </row>
    <row r="58" spans="1:30">
      <c r="A58" s="9"/>
      <c r="B58" s="9"/>
      <c r="C58" s="10" t="str">
        <f t="shared" si="2"/>
        <v/>
      </c>
      <c r="D58" s="12">
        <f t="shared" si="3"/>
        <v>0</v>
      </c>
      <c r="E58" s="13">
        <f t="shared" si="4"/>
        <v>0</v>
      </c>
      <c r="F58" s="12">
        <f t="shared" si="5"/>
        <v>0</v>
      </c>
      <c r="G58" s="12">
        <f t="shared" si="6"/>
        <v>0</v>
      </c>
      <c r="H58" s="12">
        <f t="shared" si="7"/>
        <v>0</v>
      </c>
      <c r="I58" s="13">
        <f t="shared" si="8"/>
        <v>0</v>
      </c>
      <c r="J58" s="12">
        <f t="shared" si="9"/>
        <v>0</v>
      </c>
      <c r="K58" s="13">
        <f t="shared" si="10"/>
        <v>0</v>
      </c>
      <c r="L58" s="12">
        <f t="shared" si="11"/>
        <v>0</v>
      </c>
      <c r="M58" s="13">
        <f t="shared" si="12"/>
        <v>0</v>
      </c>
      <c r="N58" s="12">
        <f t="shared" si="13"/>
        <v>0</v>
      </c>
      <c r="O58" s="13">
        <f t="shared" si="14"/>
        <v>0</v>
      </c>
      <c r="P58" s="13">
        <f t="shared" si="15"/>
        <v>0</v>
      </c>
      <c r="Q58" s="13">
        <f t="shared" si="16"/>
        <v>0</v>
      </c>
      <c r="R58" s="12">
        <f t="shared" si="17"/>
        <v>0</v>
      </c>
      <c r="S58" s="12">
        <f t="shared" si="18"/>
        <v>0</v>
      </c>
      <c r="T58" s="12">
        <f t="shared" si="19"/>
        <v>0</v>
      </c>
      <c r="U58" s="12">
        <f t="shared" si="20"/>
        <v>0</v>
      </c>
      <c r="V58" s="13">
        <f t="shared" si="21"/>
        <v>0</v>
      </c>
      <c r="W58" s="12">
        <f t="shared" si="22"/>
        <v>0</v>
      </c>
      <c r="X58" s="12">
        <f t="shared" si="28"/>
        <v>0</v>
      </c>
      <c r="Y58" s="12">
        <f t="shared" si="23"/>
        <v>0</v>
      </c>
      <c r="Z58" s="12">
        <f t="shared" si="24"/>
        <v>0</v>
      </c>
      <c r="AA58" s="14">
        <f t="shared" si="25"/>
        <v>0</v>
      </c>
      <c r="AB58" s="12">
        <f t="shared" si="26"/>
        <v>0</v>
      </c>
      <c r="AC58" s="15" t="b">
        <f>IF(OR(A58="",B58=""),FALSE,SubscribeQuotes(A58,B58))</f>
        <v>0</v>
      </c>
      <c r="AD58" s="13">
        <f t="shared" si="27"/>
        <v>0</v>
      </c>
    </row>
    <row r="59" spans="1:30">
      <c r="A59" s="9"/>
      <c r="B59" s="9"/>
      <c r="C59" s="10" t="str">
        <f t="shared" si="2"/>
        <v/>
      </c>
      <c r="D59" s="12">
        <f t="shared" si="3"/>
        <v>0</v>
      </c>
      <c r="E59" s="13">
        <f t="shared" si="4"/>
        <v>0</v>
      </c>
      <c r="F59" s="12">
        <f t="shared" si="5"/>
        <v>0</v>
      </c>
      <c r="G59" s="12">
        <f t="shared" si="6"/>
        <v>0</v>
      </c>
      <c r="H59" s="12">
        <f t="shared" si="7"/>
        <v>0</v>
      </c>
      <c r="I59" s="13">
        <f t="shared" si="8"/>
        <v>0</v>
      </c>
      <c r="J59" s="12">
        <f t="shared" si="9"/>
        <v>0</v>
      </c>
      <c r="K59" s="13">
        <f t="shared" si="10"/>
        <v>0</v>
      </c>
      <c r="L59" s="12">
        <f t="shared" si="11"/>
        <v>0</v>
      </c>
      <c r="M59" s="13">
        <f t="shared" si="12"/>
        <v>0</v>
      </c>
      <c r="N59" s="12">
        <f t="shared" si="13"/>
        <v>0</v>
      </c>
      <c r="O59" s="13">
        <f t="shared" si="14"/>
        <v>0</v>
      </c>
      <c r="P59" s="13">
        <f t="shared" si="15"/>
        <v>0</v>
      </c>
      <c r="Q59" s="13">
        <f t="shared" si="16"/>
        <v>0</v>
      </c>
      <c r="R59" s="12">
        <f t="shared" si="17"/>
        <v>0</v>
      </c>
      <c r="S59" s="12">
        <f t="shared" si="18"/>
        <v>0</v>
      </c>
      <c r="T59" s="12">
        <f t="shared" si="19"/>
        <v>0</v>
      </c>
      <c r="U59" s="12">
        <f t="shared" si="20"/>
        <v>0</v>
      </c>
      <c r="V59" s="13">
        <f t="shared" si="21"/>
        <v>0</v>
      </c>
      <c r="W59" s="12">
        <f t="shared" si="22"/>
        <v>0</v>
      </c>
      <c r="X59" s="12">
        <f t="shared" si="28"/>
        <v>0</v>
      </c>
      <c r="Y59" s="12">
        <f t="shared" si="23"/>
        <v>0</v>
      </c>
      <c r="Z59" s="12">
        <f t="shared" si="24"/>
        <v>0</v>
      </c>
      <c r="AA59" s="14">
        <f t="shared" si="25"/>
        <v>0</v>
      </c>
      <c r="AB59" s="12">
        <f t="shared" si="26"/>
        <v>0</v>
      </c>
      <c r="AC59" s="15" t="b">
        <f>IF(OR(A59="",B59=""),FALSE,SubscribeQuotes(A59,B59))</f>
        <v>0</v>
      </c>
      <c r="AD59" s="13">
        <f t="shared" si="27"/>
        <v>0</v>
      </c>
    </row>
    <row r="60" spans="1:30">
      <c r="A60" s="9"/>
      <c r="B60" s="9"/>
      <c r="C60" s="10" t="str">
        <f t="shared" si="2"/>
        <v/>
      </c>
      <c r="D60" s="12">
        <f t="shared" si="3"/>
        <v>0</v>
      </c>
      <c r="E60" s="13">
        <f t="shared" si="4"/>
        <v>0</v>
      </c>
      <c r="F60" s="12">
        <f t="shared" si="5"/>
        <v>0</v>
      </c>
      <c r="G60" s="12">
        <f t="shared" si="6"/>
        <v>0</v>
      </c>
      <c r="H60" s="12">
        <f t="shared" si="7"/>
        <v>0</v>
      </c>
      <c r="I60" s="13">
        <f t="shared" si="8"/>
        <v>0</v>
      </c>
      <c r="J60" s="12">
        <f t="shared" si="9"/>
        <v>0</v>
      </c>
      <c r="K60" s="13">
        <f t="shared" si="10"/>
        <v>0</v>
      </c>
      <c r="L60" s="12">
        <f t="shared" si="11"/>
        <v>0</v>
      </c>
      <c r="M60" s="13">
        <f t="shared" si="12"/>
        <v>0</v>
      </c>
      <c r="N60" s="12">
        <f t="shared" si="13"/>
        <v>0</v>
      </c>
      <c r="O60" s="13">
        <f t="shared" si="14"/>
        <v>0</v>
      </c>
      <c r="P60" s="13">
        <f t="shared" si="15"/>
        <v>0</v>
      </c>
      <c r="Q60" s="13">
        <f t="shared" si="16"/>
        <v>0</v>
      </c>
      <c r="R60" s="12">
        <f t="shared" si="17"/>
        <v>0</v>
      </c>
      <c r="S60" s="12">
        <f t="shared" si="18"/>
        <v>0</v>
      </c>
      <c r="T60" s="12">
        <f t="shared" si="19"/>
        <v>0</v>
      </c>
      <c r="U60" s="12">
        <f t="shared" si="20"/>
        <v>0</v>
      </c>
      <c r="V60" s="13">
        <f t="shared" si="21"/>
        <v>0</v>
      </c>
      <c r="W60" s="12">
        <f t="shared" si="22"/>
        <v>0</v>
      </c>
      <c r="X60" s="12">
        <f t="shared" si="28"/>
        <v>0</v>
      </c>
      <c r="Y60" s="12">
        <f t="shared" si="23"/>
        <v>0</v>
      </c>
      <c r="Z60" s="12">
        <f t="shared" si="24"/>
        <v>0</v>
      </c>
      <c r="AA60" s="14">
        <f t="shared" si="25"/>
        <v>0</v>
      </c>
      <c r="AB60" s="12">
        <f t="shared" si="26"/>
        <v>0</v>
      </c>
      <c r="AC60" s="15" t="b">
        <f>IF(OR(A60="",B60=""),FALSE,SubscribeQuotes(A60,B60))</f>
        <v>0</v>
      </c>
      <c r="AD60" s="13">
        <f t="shared" si="27"/>
        <v>0</v>
      </c>
    </row>
    <row r="61" spans="1:30">
      <c r="A61" s="9"/>
      <c r="B61" s="9"/>
      <c r="C61" s="10" t="str">
        <f t="shared" si="2"/>
        <v/>
      </c>
      <c r="D61" s="12">
        <f t="shared" si="3"/>
        <v>0</v>
      </c>
      <c r="E61" s="13">
        <f t="shared" si="4"/>
        <v>0</v>
      </c>
      <c r="F61" s="12">
        <f t="shared" si="5"/>
        <v>0</v>
      </c>
      <c r="G61" s="12">
        <f t="shared" si="6"/>
        <v>0</v>
      </c>
      <c r="H61" s="12">
        <f t="shared" si="7"/>
        <v>0</v>
      </c>
      <c r="I61" s="13">
        <f t="shared" si="8"/>
        <v>0</v>
      </c>
      <c r="J61" s="12">
        <f t="shared" si="9"/>
        <v>0</v>
      </c>
      <c r="K61" s="13">
        <f t="shared" si="10"/>
        <v>0</v>
      </c>
      <c r="L61" s="12">
        <f t="shared" si="11"/>
        <v>0</v>
      </c>
      <c r="M61" s="13">
        <f t="shared" si="12"/>
        <v>0</v>
      </c>
      <c r="N61" s="12">
        <f t="shared" si="13"/>
        <v>0</v>
      </c>
      <c r="O61" s="13">
        <f t="shared" si="14"/>
        <v>0</v>
      </c>
      <c r="P61" s="13">
        <f t="shared" si="15"/>
        <v>0</v>
      </c>
      <c r="Q61" s="13">
        <f t="shared" si="16"/>
        <v>0</v>
      </c>
      <c r="R61" s="12">
        <f t="shared" si="17"/>
        <v>0</v>
      </c>
      <c r="S61" s="12">
        <f t="shared" si="18"/>
        <v>0</v>
      </c>
      <c r="T61" s="12">
        <f t="shared" si="19"/>
        <v>0</v>
      </c>
      <c r="U61" s="12">
        <f t="shared" si="20"/>
        <v>0</v>
      </c>
      <c r="V61" s="13">
        <f t="shared" si="21"/>
        <v>0</v>
      </c>
      <c r="W61" s="12">
        <f t="shared" si="22"/>
        <v>0</v>
      </c>
      <c r="X61" s="12">
        <f t="shared" si="28"/>
        <v>0</v>
      </c>
      <c r="Y61" s="12">
        <f t="shared" si="23"/>
        <v>0</v>
      </c>
      <c r="Z61" s="12">
        <f t="shared" si="24"/>
        <v>0</v>
      </c>
      <c r="AA61" s="14">
        <f t="shared" si="25"/>
        <v>0</v>
      </c>
      <c r="AB61" s="12">
        <f t="shared" si="26"/>
        <v>0</v>
      </c>
      <c r="AC61" s="15" t="b">
        <f>IF(OR(A61="",B61=""),FALSE,SubscribeQuotes(A61,B61))</f>
        <v>0</v>
      </c>
      <c r="AD61" s="13">
        <f t="shared" si="27"/>
        <v>0</v>
      </c>
    </row>
    <row r="62" spans="1:30">
      <c r="A62" s="9"/>
      <c r="B62" s="9"/>
      <c r="C62" s="10" t="str">
        <f t="shared" si="2"/>
        <v/>
      </c>
      <c r="D62" s="12">
        <f t="shared" si="3"/>
        <v>0</v>
      </c>
      <c r="E62" s="13">
        <f t="shared" si="4"/>
        <v>0</v>
      </c>
      <c r="F62" s="12">
        <f t="shared" si="5"/>
        <v>0</v>
      </c>
      <c r="G62" s="12">
        <f t="shared" si="6"/>
        <v>0</v>
      </c>
      <c r="H62" s="12">
        <f t="shared" si="7"/>
        <v>0</v>
      </c>
      <c r="I62" s="13">
        <f t="shared" si="8"/>
        <v>0</v>
      </c>
      <c r="J62" s="12">
        <f t="shared" si="9"/>
        <v>0</v>
      </c>
      <c r="K62" s="13">
        <f t="shared" si="10"/>
        <v>0</v>
      </c>
      <c r="L62" s="12">
        <f t="shared" si="11"/>
        <v>0</v>
      </c>
      <c r="M62" s="13">
        <f t="shared" si="12"/>
        <v>0</v>
      </c>
      <c r="N62" s="12">
        <f t="shared" si="13"/>
        <v>0</v>
      </c>
      <c r="O62" s="13">
        <f t="shared" si="14"/>
        <v>0</v>
      </c>
      <c r="P62" s="13">
        <f t="shared" si="15"/>
        <v>0</v>
      </c>
      <c r="Q62" s="13">
        <f t="shared" si="16"/>
        <v>0</v>
      </c>
      <c r="R62" s="12">
        <f t="shared" si="17"/>
        <v>0</v>
      </c>
      <c r="S62" s="12">
        <f t="shared" si="18"/>
        <v>0</v>
      </c>
      <c r="T62" s="12">
        <f t="shared" si="19"/>
        <v>0</v>
      </c>
      <c r="U62" s="12">
        <f t="shared" si="20"/>
        <v>0</v>
      </c>
      <c r="V62" s="13">
        <f t="shared" si="21"/>
        <v>0</v>
      </c>
      <c r="W62" s="12">
        <f t="shared" si="22"/>
        <v>0</v>
      </c>
      <c r="X62" s="12">
        <f t="shared" si="28"/>
        <v>0</v>
      </c>
      <c r="Y62" s="12">
        <f t="shared" si="23"/>
        <v>0</v>
      </c>
      <c r="Z62" s="12">
        <f t="shared" si="24"/>
        <v>0</v>
      </c>
      <c r="AA62" s="14">
        <f t="shared" si="25"/>
        <v>0</v>
      </c>
      <c r="AB62" s="12">
        <f t="shared" si="26"/>
        <v>0</v>
      </c>
      <c r="AC62" s="15" t="b">
        <f>IF(OR(A62="",B62=""),FALSE,SubscribeQuotes(A62,B62))</f>
        <v>0</v>
      </c>
      <c r="AD62" s="13">
        <f t="shared" si="27"/>
        <v>0</v>
      </c>
    </row>
    <row r="63" spans="1:30">
      <c r="A63" s="9"/>
      <c r="B63" s="9"/>
      <c r="C63" s="10" t="str">
        <f t="shared" si="2"/>
        <v/>
      </c>
      <c r="D63" s="12">
        <f t="shared" si="3"/>
        <v>0</v>
      </c>
      <c r="E63" s="13">
        <f t="shared" si="4"/>
        <v>0</v>
      </c>
      <c r="F63" s="12">
        <f t="shared" si="5"/>
        <v>0</v>
      </c>
      <c r="G63" s="12">
        <f t="shared" si="6"/>
        <v>0</v>
      </c>
      <c r="H63" s="12">
        <f t="shared" si="7"/>
        <v>0</v>
      </c>
      <c r="I63" s="13">
        <f t="shared" si="8"/>
        <v>0</v>
      </c>
      <c r="J63" s="12">
        <f t="shared" si="9"/>
        <v>0</v>
      </c>
      <c r="K63" s="13">
        <f t="shared" si="10"/>
        <v>0</v>
      </c>
      <c r="L63" s="12">
        <f t="shared" si="11"/>
        <v>0</v>
      </c>
      <c r="M63" s="13">
        <f t="shared" si="12"/>
        <v>0</v>
      </c>
      <c r="N63" s="12">
        <f t="shared" si="13"/>
        <v>0</v>
      </c>
      <c r="O63" s="13">
        <f t="shared" si="14"/>
        <v>0</v>
      </c>
      <c r="P63" s="13">
        <f t="shared" si="15"/>
        <v>0</v>
      </c>
      <c r="Q63" s="13">
        <f t="shared" si="16"/>
        <v>0</v>
      </c>
      <c r="R63" s="12">
        <f t="shared" si="17"/>
        <v>0</v>
      </c>
      <c r="S63" s="12">
        <f t="shared" si="18"/>
        <v>0</v>
      </c>
      <c r="T63" s="12">
        <f t="shared" si="19"/>
        <v>0</v>
      </c>
      <c r="U63" s="12">
        <f t="shared" si="20"/>
        <v>0</v>
      </c>
      <c r="V63" s="13">
        <f t="shared" si="21"/>
        <v>0</v>
      </c>
      <c r="W63" s="12">
        <f t="shared" si="22"/>
        <v>0</v>
      </c>
      <c r="X63" s="12">
        <f t="shared" si="28"/>
        <v>0</v>
      </c>
      <c r="Y63" s="12">
        <f t="shared" si="23"/>
        <v>0</v>
      </c>
      <c r="Z63" s="12">
        <f t="shared" si="24"/>
        <v>0</v>
      </c>
      <c r="AA63" s="14">
        <f t="shared" si="25"/>
        <v>0</v>
      </c>
      <c r="AB63" s="12">
        <f t="shared" si="26"/>
        <v>0</v>
      </c>
      <c r="AC63" s="15" t="b">
        <f>IF(OR(A63="",B63=""),FALSE,SubscribeQuotes(A63,B63))</f>
        <v>0</v>
      </c>
      <c r="AD63" s="13">
        <f t="shared" si="27"/>
        <v>0</v>
      </c>
    </row>
    <row r="64" spans="1:30">
      <c r="A64" s="9"/>
      <c r="B64" s="9"/>
      <c r="C64" s="10" t="str">
        <f t="shared" si="2"/>
        <v/>
      </c>
      <c r="D64" s="12">
        <f t="shared" si="3"/>
        <v>0</v>
      </c>
      <c r="E64" s="13">
        <f t="shared" si="4"/>
        <v>0</v>
      </c>
      <c r="F64" s="12">
        <f t="shared" si="5"/>
        <v>0</v>
      </c>
      <c r="G64" s="12">
        <f t="shared" si="6"/>
        <v>0</v>
      </c>
      <c r="H64" s="12">
        <f t="shared" si="7"/>
        <v>0</v>
      </c>
      <c r="I64" s="13">
        <f t="shared" si="8"/>
        <v>0</v>
      </c>
      <c r="J64" s="12">
        <f t="shared" si="9"/>
        <v>0</v>
      </c>
      <c r="K64" s="13">
        <f t="shared" si="10"/>
        <v>0</v>
      </c>
      <c r="L64" s="12">
        <f t="shared" si="11"/>
        <v>0</v>
      </c>
      <c r="M64" s="13">
        <f t="shared" si="12"/>
        <v>0</v>
      </c>
      <c r="N64" s="12">
        <f t="shared" si="13"/>
        <v>0</v>
      </c>
      <c r="O64" s="13">
        <f t="shared" si="14"/>
        <v>0</v>
      </c>
      <c r="P64" s="13">
        <f t="shared" si="15"/>
        <v>0</v>
      </c>
      <c r="Q64" s="13">
        <f t="shared" si="16"/>
        <v>0</v>
      </c>
      <c r="R64" s="12">
        <f t="shared" si="17"/>
        <v>0</v>
      </c>
      <c r="S64" s="12">
        <f t="shared" si="18"/>
        <v>0</v>
      </c>
      <c r="T64" s="12">
        <f t="shared" si="19"/>
        <v>0</v>
      </c>
      <c r="U64" s="12">
        <f t="shared" si="20"/>
        <v>0</v>
      </c>
      <c r="V64" s="13">
        <f t="shared" si="21"/>
        <v>0</v>
      </c>
      <c r="W64" s="12">
        <f t="shared" si="22"/>
        <v>0</v>
      </c>
      <c r="X64" s="12">
        <f t="shared" si="28"/>
        <v>0</v>
      </c>
      <c r="Y64" s="12">
        <f t="shared" si="23"/>
        <v>0</v>
      </c>
      <c r="Z64" s="12">
        <f t="shared" si="24"/>
        <v>0</v>
      </c>
      <c r="AA64" s="14">
        <f t="shared" si="25"/>
        <v>0</v>
      </c>
      <c r="AB64" s="12">
        <f t="shared" si="26"/>
        <v>0</v>
      </c>
      <c r="AC64" s="15" t="b">
        <f>IF(OR(A64="",B64=""),FALSE,SubscribeQuotes(A64,B64))</f>
        <v>0</v>
      </c>
      <c r="AD64" s="13">
        <f t="shared" si="27"/>
        <v>0</v>
      </c>
    </row>
    <row r="65" spans="1:30">
      <c r="A65" s="9"/>
      <c r="B65" s="9"/>
      <c r="C65" s="10" t="str">
        <f t="shared" si="2"/>
        <v/>
      </c>
      <c r="D65" s="12">
        <f t="shared" si="3"/>
        <v>0</v>
      </c>
      <c r="E65" s="13">
        <f t="shared" si="4"/>
        <v>0</v>
      </c>
      <c r="F65" s="12">
        <f t="shared" si="5"/>
        <v>0</v>
      </c>
      <c r="G65" s="12">
        <f t="shared" si="6"/>
        <v>0</v>
      </c>
      <c r="H65" s="12">
        <f t="shared" si="7"/>
        <v>0</v>
      </c>
      <c r="I65" s="13">
        <f t="shared" si="8"/>
        <v>0</v>
      </c>
      <c r="J65" s="12">
        <f t="shared" si="9"/>
        <v>0</v>
      </c>
      <c r="K65" s="13">
        <f t="shared" si="10"/>
        <v>0</v>
      </c>
      <c r="L65" s="12">
        <f t="shared" si="11"/>
        <v>0</v>
      </c>
      <c r="M65" s="13">
        <f t="shared" si="12"/>
        <v>0</v>
      </c>
      <c r="N65" s="12">
        <f t="shared" si="13"/>
        <v>0</v>
      </c>
      <c r="O65" s="13">
        <f t="shared" si="14"/>
        <v>0</v>
      </c>
      <c r="P65" s="13">
        <f t="shared" si="15"/>
        <v>0</v>
      </c>
      <c r="Q65" s="13">
        <f t="shared" si="16"/>
        <v>0</v>
      </c>
      <c r="R65" s="12">
        <f t="shared" si="17"/>
        <v>0</v>
      </c>
      <c r="S65" s="12">
        <f t="shared" si="18"/>
        <v>0</v>
      </c>
      <c r="T65" s="12">
        <f t="shared" si="19"/>
        <v>0</v>
      </c>
      <c r="U65" s="12">
        <f t="shared" si="20"/>
        <v>0</v>
      </c>
      <c r="V65" s="13">
        <f t="shared" si="21"/>
        <v>0</v>
      </c>
      <c r="W65" s="12">
        <f t="shared" si="22"/>
        <v>0</v>
      </c>
      <c r="X65" s="12">
        <f t="shared" si="28"/>
        <v>0</v>
      </c>
      <c r="Y65" s="12">
        <f t="shared" si="23"/>
        <v>0</v>
      </c>
      <c r="Z65" s="12">
        <f t="shared" si="24"/>
        <v>0</v>
      </c>
      <c r="AA65" s="14">
        <f t="shared" si="25"/>
        <v>0</v>
      </c>
      <c r="AB65" s="12">
        <f t="shared" si="26"/>
        <v>0</v>
      </c>
      <c r="AC65" s="15" t="b">
        <f>IF(OR(A65="",B65=""),FALSE,SubscribeQuotes(A65,B65))</f>
        <v>0</v>
      </c>
      <c r="AD65" s="13">
        <f t="shared" si="27"/>
        <v>0</v>
      </c>
    </row>
    <row r="66" spans="1:30">
      <c r="A66" s="9"/>
      <c r="B66" s="9"/>
      <c r="C66" s="10" t="str">
        <f t="shared" si="2"/>
        <v/>
      </c>
      <c r="D66" s="12">
        <f t="shared" si="3"/>
        <v>0</v>
      </c>
      <c r="E66" s="13">
        <f t="shared" si="4"/>
        <v>0</v>
      </c>
      <c r="F66" s="12">
        <f t="shared" si="5"/>
        <v>0</v>
      </c>
      <c r="G66" s="12">
        <f t="shared" si="6"/>
        <v>0</v>
      </c>
      <c r="H66" s="12">
        <f t="shared" si="7"/>
        <v>0</v>
      </c>
      <c r="I66" s="13">
        <f t="shared" si="8"/>
        <v>0</v>
      </c>
      <c r="J66" s="12">
        <f t="shared" si="9"/>
        <v>0</v>
      </c>
      <c r="K66" s="13">
        <f t="shared" si="10"/>
        <v>0</v>
      </c>
      <c r="L66" s="12">
        <f t="shared" si="11"/>
        <v>0</v>
      </c>
      <c r="M66" s="13">
        <f t="shared" si="12"/>
        <v>0</v>
      </c>
      <c r="N66" s="12">
        <f t="shared" si="13"/>
        <v>0</v>
      </c>
      <c r="O66" s="13">
        <f t="shared" si="14"/>
        <v>0</v>
      </c>
      <c r="P66" s="13">
        <f t="shared" si="15"/>
        <v>0</v>
      </c>
      <c r="Q66" s="13">
        <f t="shared" si="16"/>
        <v>0</v>
      </c>
      <c r="R66" s="12">
        <f t="shared" si="17"/>
        <v>0</v>
      </c>
      <c r="S66" s="12">
        <f t="shared" si="18"/>
        <v>0</v>
      </c>
      <c r="T66" s="12">
        <f t="shared" si="19"/>
        <v>0</v>
      </c>
      <c r="U66" s="12">
        <f t="shared" si="20"/>
        <v>0</v>
      </c>
      <c r="V66" s="13">
        <f t="shared" si="21"/>
        <v>0</v>
      </c>
      <c r="W66" s="12">
        <f t="shared" si="22"/>
        <v>0</v>
      </c>
      <c r="X66" s="12">
        <f t="shared" ref="X66:X97" si="29">GetRTD(A66,B66,"UPPERCKT")</f>
        <v>0</v>
      </c>
      <c r="Y66" s="12">
        <f t="shared" si="23"/>
        <v>0</v>
      </c>
      <c r="Z66" s="12">
        <f t="shared" si="24"/>
        <v>0</v>
      </c>
      <c r="AA66" s="14">
        <f t="shared" si="25"/>
        <v>0</v>
      </c>
      <c r="AB66" s="12">
        <f t="shared" si="26"/>
        <v>0</v>
      </c>
      <c r="AC66" s="15" t="b">
        <f>IF(OR(A66="",B66=""),FALSE,SubscribeQuotes(A66,B66))</f>
        <v>0</v>
      </c>
      <c r="AD66" s="13">
        <f t="shared" si="27"/>
        <v>0</v>
      </c>
    </row>
    <row r="67" spans="1:30">
      <c r="A67" s="9"/>
      <c r="B67" s="9"/>
      <c r="C67" s="10" t="str">
        <f t="shared" ref="C67:C130" si="30">IF(D67&gt;0,"MKT DEPTH","")</f>
        <v/>
      </c>
      <c r="D67" s="12">
        <f t="shared" ref="D67:D130" si="31">GetRTD(A67,B67,"LAST")</f>
        <v>0</v>
      </c>
      <c r="E67" s="13">
        <f t="shared" ref="E67:E130" si="32">GetRTD(A67,B67,"NETQTY")</f>
        <v>0</v>
      </c>
      <c r="F67" s="12">
        <f t="shared" ref="F67:F130" si="33">GetRTD(A67,B67,"MTM")</f>
        <v>0</v>
      </c>
      <c r="G67" s="12">
        <f t="shared" ref="G67:G130" si="34">GetRTD(A67,B67,"PCTCHG")</f>
        <v>0</v>
      </c>
      <c r="H67" s="12">
        <f t="shared" ref="H67:H130" si="35">GetRTD(A67,B67,"NETCHG")</f>
        <v>0</v>
      </c>
      <c r="I67" s="13">
        <f t="shared" ref="I67:I130" si="36">GetRTD(A67,B67,"LASTSIZE")</f>
        <v>0</v>
      </c>
      <c r="J67" s="12">
        <f t="shared" ref="J67:J130" si="37">GetRTD(A67,B67,"BID")</f>
        <v>0</v>
      </c>
      <c r="K67" s="13">
        <f t="shared" ref="K67:K130" si="38">GetRTD(A67,B67,"BIDSIZE")</f>
        <v>0</v>
      </c>
      <c r="L67" s="12">
        <f t="shared" ref="L67:L130" si="39">GetRTD(A67,B67,"ASK")</f>
        <v>0</v>
      </c>
      <c r="M67" s="13">
        <f t="shared" ref="M67:M130" si="40">GetRTD(A67,B67,"ASKSIZE")</f>
        <v>0</v>
      </c>
      <c r="N67" s="12">
        <f t="shared" ref="N67:N130" si="41">GetRTD(A67,B67,"AVGPRICE")</f>
        <v>0</v>
      </c>
      <c r="O67" s="13">
        <f t="shared" ref="O67:O130" si="42">GetRTD(A67,B67,"VOLUME")</f>
        <v>0</v>
      </c>
      <c r="P67" s="13">
        <f t="shared" ref="P67:P130" si="43">GetRTD(A67,B67,"BUYQTY")</f>
        <v>0</v>
      </c>
      <c r="Q67" s="13">
        <f t="shared" ref="Q67:Q130" si="44">GetRTD(A67,B67,"SELLQTY")</f>
        <v>0</v>
      </c>
      <c r="R67" s="12">
        <f t="shared" ref="R67:R130" si="45">GetRTD(A67,B67,"OPEN")</f>
        <v>0</v>
      </c>
      <c r="S67" s="12">
        <f t="shared" ref="S67:S130" si="46">GetRTD(A67,B67,"HIGH")</f>
        <v>0</v>
      </c>
      <c r="T67" s="12">
        <f t="shared" ref="T67:T130" si="47">GetRTD(A67,B67,"LOW")</f>
        <v>0</v>
      </c>
      <c r="U67" s="12">
        <f t="shared" ref="U67:U130" si="48">GetRTD(A67,B67,"CLOSE")</f>
        <v>0</v>
      </c>
      <c r="V67" s="13">
        <f t="shared" ref="V67:V130" si="49">GetRTD(A67,B67,"OI")</f>
        <v>0</v>
      </c>
      <c r="W67" s="12">
        <f t="shared" ref="W67:W130" si="50">GetRTD(A67,B67,"LOWERCKT")</f>
        <v>0</v>
      </c>
      <c r="X67" s="12">
        <f t="shared" si="29"/>
        <v>0</v>
      </c>
      <c r="Y67" s="12">
        <f t="shared" ref="Y67:Y130" si="51">GetRTD(A67,B67,"YEARLYHIGH")</f>
        <v>0</v>
      </c>
      <c r="Z67" s="12">
        <f t="shared" ref="Z67:Z130" si="52">GetRTD(A67,B67,"YEARLYLOW")</f>
        <v>0</v>
      </c>
      <c r="AA67" s="14">
        <f t="shared" ref="AA67:AA130" si="53">GetRTD(A67,B67,"LTT")</f>
        <v>0</v>
      </c>
      <c r="AB67" s="12">
        <f t="shared" ref="AB67:AB130" si="54">GetRTD(A67,B67,"SPOT")</f>
        <v>0</v>
      </c>
      <c r="AC67" s="15" t="b">
        <f>IF(OR(A67="",B67=""),FALSE,SubscribeQuotes(A67,B67))</f>
        <v>0</v>
      </c>
      <c r="AD67" s="13">
        <f t="shared" ref="AD67:AD130" si="55">GetValueColor(B67,D67,"Ltp")</f>
        <v>0</v>
      </c>
    </row>
    <row r="68" spans="1:30">
      <c r="A68" s="9"/>
      <c r="B68" s="9"/>
      <c r="C68" s="10" t="str">
        <f t="shared" si="30"/>
        <v/>
      </c>
      <c r="D68" s="12">
        <f t="shared" si="31"/>
        <v>0</v>
      </c>
      <c r="E68" s="13">
        <f t="shared" si="32"/>
        <v>0</v>
      </c>
      <c r="F68" s="12">
        <f t="shared" si="33"/>
        <v>0</v>
      </c>
      <c r="G68" s="12">
        <f t="shared" si="34"/>
        <v>0</v>
      </c>
      <c r="H68" s="12">
        <f t="shared" si="35"/>
        <v>0</v>
      </c>
      <c r="I68" s="13">
        <f t="shared" si="36"/>
        <v>0</v>
      </c>
      <c r="J68" s="12">
        <f t="shared" si="37"/>
        <v>0</v>
      </c>
      <c r="K68" s="13">
        <f t="shared" si="38"/>
        <v>0</v>
      </c>
      <c r="L68" s="12">
        <f t="shared" si="39"/>
        <v>0</v>
      </c>
      <c r="M68" s="13">
        <f t="shared" si="40"/>
        <v>0</v>
      </c>
      <c r="N68" s="12">
        <f t="shared" si="41"/>
        <v>0</v>
      </c>
      <c r="O68" s="13">
        <f t="shared" si="42"/>
        <v>0</v>
      </c>
      <c r="P68" s="13">
        <f t="shared" si="43"/>
        <v>0</v>
      </c>
      <c r="Q68" s="13">
        <f t="shared" si="44"/>
        <v>0</v>
      </c>
      <c r="R68" s="12">
        <f t="shared" si="45"/>
        <v>0</v>
      </c>
      <c r="S68" s="12">
        <f t="shared" si="46"/>
        <v>0</v>
      </c>
      <c r="T68" s="12">
        <f t="shared" si="47"/>
        <v>0</v>
      </c>
      <c r="U68" s="12">
        <f t="shared" si="48"/>
        <v>0</v>
      </c>
      <c r="V68" s="13">
        <f t="shared" si="49"/>
        <v>0</v>
      </c>
      <c r="W68" s="12">
        <f t="shared" si="50"/>
        <v>0</v>
      </c>
      <c r="X68" s="12">
        <f t="shared" si="29"/>
        <v>0</v>
      </c>
      <c r="Y68" s="12">
        <f t="shared" si="51"/>
        <v>0</v>
      </c>
      <c r="Z68" s="12">
        <f t="shared" si="52"/>
        <v>0</v>
      </c>
      <c r="AA68" s="14">
        <f t="shared" si="53"/>
        <v>0</v>
      </c>
      <c r="AB68" s="12">
        <f t="shared" si="54"/>
        <v>0</v>
      </c>
      <c r="AC68" s="15" t="b">
        <f>IF(OR(A68="",B68=""),FALSE,SubscribeQuotes(A68,B68))</f>
        <v>0</v>
      </c>
      <c r="AD68" s="13">
        <f t="shared" si="55"/>
        <v>0</v>
      </c>
    </row>
    <row r="69" spans="1:30">
      <c r="A69" s="9"/>
      <c r="B69" s="9"/>
      <c r="C69" s="10" t="str">
        <f t="shared" si="30"/>
        <v/>
      </c>
      <c r="D69" s="12">
        <f t="shared" si="31"/>
        <v>0</v>
      </c>
      <c r="E69" s="13">
        <f t="shared" si="32"/>
        <v>0</v>
      </c>
      <c r="F69" s="12">
        <f t="shared" si="33"/>
        <v>0</v>
      </c>
      <c r="G69" s="12">
        <f t="shared" si="34"/>
        <v>0</v>
      </c>
      <c r="H69" s="12">
        <f t="shared" si="35"/>
        <v>0</v>
      </c>
      <c r="I69" s="13">
        <f t="shared" si="36"/>
        <v>0</v>
      </c>
      <c r="J69" s="12">
        <f t="shared" si="37"/>
        <v>0</v>
      </c>
      <c r="K69" s="13">
        <f t="shared" si="38"/>
        <v>0</v>
      </c>
      <c r="L69" s="12">
        <f t="shared" si="39"/>
        <v>0</v>
      </c>
      <c r="M69" s="13">
        <f t="shared" si="40"/>
        <v>0</v>
      </c>
      <c r="N69" s="12">
        <f t="shared" si="41"/>
        <v>0</v>
      </c>
      <c r="O69" s="13">
        <f t="shared" si="42"/>
        <v>0</v>
      </c>
      <c r="P69" s="13">
        <f t="shared" si="43"/>
        <v>0</v>
      </c>
      <c r="Q69" s="13">
        <f t="shared" si="44"/>
        <v>0</v>
      </c>
      <c r="R69" s="12">
        <f t="shared" si="45"/>
        <v>0</v>
      </c>
      <c r="S69" s="12">
        <f t="shared" si="46"/>
        <v>0</v>
      </c>
      <c r="T69" s="12">
        <f t="shared" si="47"/>
        <v>0</v>
      </c>
      <c r="U69" s="12">
        <f t="shared" si="48"/>
        <v>0</v>
      </c>
      <c r="V69" s="13">
        <f t="shared" si="49"/>
        <v>0</v>
      </c>
      <c r="W69" s="12">
        <f t="shared" si="50"/>
        <v>0</v>
      </c>
      <c r="X69" s="12">
        <f t="shared" si="29"/>
        <v>0</v>
      </c>
      <c r="Y69" s="12">
        <f t="shared" si="51"/>
        <v>0</v>
      </c>
      <c r="Z69" s="12">
        <f t="shared" si="52"/>
        <v>0</v>
      </c>
      <c r="AA69" s="14">
        <f t="shared" si="53"/>
        <v>0</v>
      </c>
      <c r="AB69" s="12">
        <f t="shared" si="54"/>
        <v>0</v>
      </c>
      <c r="AC69" s="15" t="b">
        <f>IF(OR(A69="",B69=""),FALSE,SubscribeQuotes(A69,B69))</f>
        <v>0</v>
      </c>
      <c r="AD69" s="13">
        <f t="shared" si="55"/>
        <v>0</v>
      </c>
    </row>
    <row r="70" spans="1:30">
      <c r="A70" s="9"/>
      <c r="B70" s="9"/>
      <c r="C70" s="10" t="str">
        <f t="shared" si="30"/>
        <v/>
      </c>
      <c r="D70" s="12">
        <f t="shared" si="31"/>
        <v>0</v>
      </c>
      <c r="E70" s="13">
        <f t="shared" si="32"/>
        <v>0</v>
      </c>
      <c r="F70" s="12">
        <f t="shared" si="33"/>
        <v>0</v>
      </c>
      <c r="G70" s="12">
        <f t="shared" si="34"/>
        <v>0</v>
      </c>
      <c r="H70" s="12">
        <f t="shared" si="35"/>
        <v>0</v>
      </c>
      <c r="I70" s="13">
        <f t="shared" si="36"/>
        <v>0</v>
      </c>
      <c r="J70" s="12">
        <f t="shared" si="37"/>
        <v>0</v>
      </c>
      <c r="K70" s="13">
        <f t="shared" si="38"/>
        <v>0</v>
      </c>
      <c r="L70" s="12">
        <f t="shared" si="39"/>
        <v>0</v>
      </c>
      <c r="M70" s="13">
        <f t="shared" si="40"/>
        <v>0</v>
      </c>
      <c r="N70" s="12">
        <f t="shared" si="41"/>
        <v>0</v>
      </c>
      <c r="O70" s="13">
        <f t="shared" si="42"/>
        <v>0</v>
      </c>
      <c r="P70" s="13">
        <f t="shared" si="43"/>
        <v>0</v>
      </c>
      <c r="Q70" s="13">
        <f t="shared" si="44"/>
        <v>0</v>
      </c>
      <c r="R70" s="12">
        <f t="shared" si="45"/>
        <v>0</v>
      </c>
      <c r="S70" s="12">
        <f t="shared" si="46"/>
        <v>0</v>
      </c>
      <c r="T70" s="12">
        <f t="shared" si="47"/>
        <v>0</v>
      </c>
      <c r="U70" s="12">
        <f t="shared" si="48"/>
        <v>0</v>
      </c>
      <c r="V70" s="13">
        <f t="shared" si="49"/>
        <v>0</v>
      </c>
      <c r="W70" s="12">
        <f t="shared" si="50"/>
        <v>0</v>
      </c>
      <c r="X70" s="12">
        <f t="shared" si="29"/>
        <v>0</v>
      </c>
      <c r="Y70" s="12">
        <f t="shared" si="51"/>
        <v>0</v>
      </c>
      <c r="Z70" s="12">
        <f t="shared" si="52"/>
        <v>0</v>
      </c>
      <c r="AA70" s="14">
        <f t="shared" si="53"/>
        <v>0</v>
      </c>
      <c r="AB70" s="12">
        <f t="shared" si="54"/>
        <v>0</v>
      </c>
      <c r="AC70" s="15" t="b">
        <f>IF(OR(A70="",B70=""),FALSE,SubscribeQuotes(A70,B70))</f>
        <v>0</v>
      </c>
      <c r="AD70" s="13">
        <f t="shared" si="55"/>
        <v>0</v>
      </c>
    </row>
    <row r="71" spans="1:30">
      <c r="A71" s="9"/>
      <c r="B71" s="9"/>
      <c r="C71" s="10" t="str">
        <f t="shared" si="30"/>
        <v/>
      </c>
      <c r="D71" s="12">
        <f t="shared" si="31"/>
        <v>0</v>
      </c>
      <c r="E71" s="13">
        <f t="shared" si="32"/>
        <v>0</v>
      </c>
      <c r="F71" s="12">
        <f t="shared" si="33"/>
        <v>0</v>
      </c>
      <c r="G71" s="12">
        <f t="shared" si="34"/>
        <v>0</v>
      </c>
      <c r="H71" s="12">
        <f t="shared" si="35"/>
        <v>0</v>
      </c>
      <c r="I71" s="13">
        <f t="shared" si="36"/>
        <v>0</v>
      </c>
      <c r="J71" s="12">
        <f t="shared" si="37"/>
        <v>0</v>
      </c>
      <c r="K71" s="13">
        <f t="shared" si="38"/>
        <v>0</v>
      </c>
      <c r="L71" s="12">
        <f t="shared" si="39"/>
        <v>0</v>
      </c>
      <c r="M71" s="13">
        <f t="shared" si="40"/>
        <v>0</v>
      </c>
      <c r="N71" s="12">
        <f t="shared" si="41"/>
        <v>0</v>
      </c>
      <c r="O71" s="13">
        <f t="shared" si="42"/>
        <v>0</v>
      </c>
      <c r="P71" s="13">
        <f t="shared" si="43"/>
        <v>0</v>
      </c>
      <c r="Q71" s="13">
        <f t="shared" si="44"/>
        <v>0</v>
      </c>
      <c r="R71" s="12">
        <f t="shared" si="45"/>
        <v>0</v>
      </c>
      <c r="S71" s="12">
        <f t="shared" si="46"/>
        <v>0</v>
      </c>
      <c r="T71" s="12">
        <f t="shared" si="47"/>
        <v>0</v>
      </c>
      <c r="U71" s="12">
        <f t="shared" si="48"/>
        <v>0</v>
      </c>
      <c r="V71" s="13">
        <f t="shared" si="49"/>
        <v>0</v>
      </c>
      <c r="W71" s="12">
        <f t="shared" si="50"/>
        <v>0</v>
      </c>
      <c r="X71" s="12">
        <f t="shared" si="29"/>
        <v>0</v>
      </c>
      <c r="Y71" s="12">
        <f t="shared" si="51"/>
        <v>0</v>
      </c>
      <c r="Z71" s="12">
        <f t="shared" si="52"/>
        <v>0</v>
      </c>
      <c r="AA71" s="14">
        <f t="shared" si="53"/>
        <v>0</v>
      </c>
      <c r="AB71" s="12">
        <f t="shared" si="54"/>
        <v>0</v>
      </c>
      <c r="AC71" s="15" t="b">
        <f>IF(OR(A71="",B71=""),FALSE,SubscribeQuotes(A71,B71))</f>
        <v>0</v>
      </c>
      <c r="AD71" s="13">
        <f t="shared" si="55"/>
        <v>0</v>
      </c>
    </row>
    <row r="72" spans="1:30">
      <c r="A72" s="9"/>
      <c r="B72" s="9"/>
      <c r="C72" s="10" t="str">
        <f t="shared" si="30"/>
        <v/>
      </c>
      <c r="D72" s="12">
        <f t="shared" si="31"/>
        <v>0</v>
      </c>
      <c r="E72" s="13">
        <f t="shared" si="32"/>
        <v>0</v>
      </c>
      <c r="F72" s="12">
        <f t="shared" si="33"/>
        <v>0</v>
      </c>
      <c r="G72" s="12">
        <f t="shared" si="34"/>
        <v>0</v>
      </c>
      <c r="H72" s="12">
        <f t="shared" si="35"/>
        <v>0</v>
      </c>
      <c r="I72" s="13">
        <f t="shared" si="36"/>
        <v>0</v>
      </c>
      <c r="J72" s="12">
        <f t="shared" si="37"/>
        <v>0</v>
      </c>
      <c r="K72" s="13">
        <f t="shared" si="38"/>
        <v>0</v>
      </c>
      <c r="L72" s="12">
        <f t="shared" si="39"/>
        <v>0</v>
      </c>
      <c r="M72" s="13">
        <f t="shared" si="40"/>
        <v>0</v>
      </c>
      <c r="N72" s="12">
        <f t="shared" si="41"/>
        <v>0</v>
      </c>
      <c r="O72" s="13">
        <f t="shared" si="42"/>
        <v>0</v>
      </c>
      <c r="P72" s="13">
        <f t="shared" si="43"/>
        <v>0</v>
      </c>
      <c r="Q72" s="13">
        <f t="shared" si="44"/>
        <v>0</v>
      </c>
      <c r="R72" s="12">
        <f t="shared" si="45"/>
        <v>0</v>
      </c>
      <c r="S72" s="12">
        <f t="shared" si="46"/>
        <v>0</v>
      </c>
      <c r="T72" s="12">
        <f t="shared" si="47"/>
        <v>0</v>
      </c>
      <c r="U72" s="12">
        <f t="shared" si="48"/>
        <v>0</v>
      </c>
      <c r="V72" s="13">
        <f t="shared" si="49"/>
        <v>0</v>
      </c>
      <c r="W72" s="12">
        <f t="shared" si="50"/>
        <v>0</v>
      </c>
      <c r="X72" s="12">
        <f t="shared" si="29"/>
        <v>0</v>
      </c>
      <c r="Y72" s="12">
        <f t="shared" si="51"/>
        <v>0</v>
      </c>
      <c r="Z72" s="12">
        <f t="shared" si="52"/>
        <v>0</v>
      </c>
      <c r="AA72" s="14">
        <f t="shared" si="53"/>
        <v>0</v>
      </c>
      <c r="AB72" s="12">
        <f t="shared" si="54"/>
        <v>0</v>
      </c>
      <c r="AC72" s="15" t="b">
        <f>IF(OR(A72="",B72=""),FALSE,SubscribeQuotes(A72,B72))</f>
        <v>0</v>
      </c>
      <c r="AD72" s="13">
        <f t="shared" si="55"/>
        <v>0</v>
      </c>
    </row>
    <row r="73" spans="1:30">
      <c r="A73" s="9"/>
      <c r="B73" s="9"/>
      <c r="C73" s="10" t="str">
        <f t="shared" si="30"/>
        <v/>
      </c>
      <c r="D73" s="12">
        <f t="shared" si="31"/>
        <v>0</v>
      </c>
      <c r="E73" s="13">
        <f t="shared" si="32"/>
        <v>0</v>
      </c>
      <c r="F73" s="12">
        <f t="shared" si="33"/>
        <v>0</v>
      </c>
      <c r="G73" s="12">
        <f t="shared" si="34"/>
        <v>0</v>
      </c>
      <c r="H73" s="12">
        <f t="shared" si="35"/>
        <v>0</v>
      </c>
      <c r="I73" s="13">
        <f t="shared" si="36"/>
        <v>0</v>
      </c>
      <c r="J73" s="12">
        <f t="shared" si="37"/>
        <v>0</v>
      </c>
      <c r="K73" s="13">
        <f t="shared" si="38"/>
        <v>0</v>
      </c>
      <c r="L73" s="12">
        <f t="shared" si="39"/>
        <v>0</v>
      </c>
      <c r="M73" s="13">
        <f t="shared" si="40"/>
        <v>0</v>
      </c>
      <c r="N73" s="12">
        <f t="shared" si="41"/>
        <v>0</v>
      </c>
      <c r="O73" s="13">
        <f t="shared" si="42"/>
        <v>0</v>
      </c>
      <c r="P73" s="13">
        <f t="shared" si="43"/>
        <v>0</v>
      </c>
      <c r="Q73" s="13">
        <f t="shared" si="44"/>
        <v>0</v>
      </c>
      <c r="R73" s="12">
        <f t="shared" si="45"/>
        <v>0</v>
      </c>
      <c r="S73" s="12">
        <f t="shared" si="46"/>
        <v>0</v>
      </c>
      <c r="T73" s="12">
        <f t="shared" si="47"/>
        <v>0</v>
      </c>
      <c r="U73" s="12">
        <f t="shared" si="48"/>
        <v>0</v>
      </c>
      <c r="V73" s="13">
        <f t="shared" si="49"/>
        <v>0</v>
      </c>
      <c r="W73" s="12">
        <f t="shared" si="50"/>
        <v>0</v>
      </c>
      <c r="X73" s="12">
        <f t="shared" si="29"/>
        <v>0</v>
      </c>
      <c r="Y73" s="12">
        <f t="shared" si="51"/>
        <v>0</v>
      </c>
      <c r="Z73" s="12">
        <f t="shared" si="52"/>
        <v>0</v>
      </c>
      <c r="AA73" s="14">
        <f t="shared" si="53"/>
        <v>0</v>
      </c>
      <c r="AB73" s="12">
        <f t="shared" si="54"/>
        <v>0</v>
      </c>
      <c r="AC73" s="15" t="b">
        <f>IF(OR(A73="",B73=""),FALSE,SubscribeQuotes(A73,B73))</f>
        <v>0</v>
      </c>
      <c r="AD73" s="13">
        <f t="shared" si="55"/>
        <v>0</v>
      </c>
    </row>
    <row r="74" spans="1:30">
      <c r="A74" s="9"/>
      <c r="B74" s="9"/>
      <c r="C74" s="10" t="str">
        <f t="shared" si="30"/>
        <v/>
      </c>
      <c r="D74" s="12">
        <f t="shared" si="31"/>
        <v>0</v>
      </c>
      <c r="E74" s="13">
        <f t="shared" si="32"/>
        <v>0</v>
      </c>
      <c r="F74" s="12">
        <f t="shared" si="33"/>
        <v>0</v>
      </c>
      <c r="G74" s="12">
        <f t="shared" si="34"/>
        <v>0</v>
      </c>
      <c r="H74" s="12">
        <f t="shared" si="35"/>
        <v>0</v>
      </c>
      <c r="I74" s="13">
        <f t="shared" si="36"/>
        <v>0</v>
      </c>
      <c r="J74" s="12">
        <f t="shared" si="37"/>
        <v>0</v>
      </c>
      <c r="K74" s="13">
        <f t="shared" si="38"/>
        <v>0</v>
      </c>
      <c r="L74" s="12">
        <f t="shared" si="39"/>
        <v>0</v>
      </c>
      <c r="M74" s="13">
        <f t="shared" si="40"/>
        <v>0</v>
      </c>
      <c r="N74" s="12">
        <f t="shared" si="41"/>
        <v>0</v>
      </c>
      <c r="O74" s="13">
        <f t="shared" si="42"/>
        <v>0</v>
      </c>
      <c r="P74" s="13">
        <f t="shared" si="43"/>
        <v>0</v>
      </c>
      <c r="Q74" s="13">
        <f t="shared" si="44"/>
        <v>0</v>
      </c>
      <c r="R74" s="12">
        <f t="shared" si="45"/>
        <v>0</v>
      </c>
      <c r="S74" s="12">
        <f t="shared" si="46"/>
        <v>0</v>
      </c>
      <c r="T74" s="12">
        <f t="shared" si="47"/>
        <v>0</v>
      </c>
      <c r="U74" s="12">
        <f t="shared" si="48"/>
        <v>0</v>
      </c>
      <c r="V74" s="13">
        <f t="shared" si="49"/>
        <v>0</v>
      </c>
      <c r="W74" s="12">
        <f t="shared" si="50"/>
        <v>0</v>
      </c>
      <c r="X74" s="12">
        <f t="shared" si="29"/>
        <v>0</v>
      </c>
      <c r="Y74" s="12">
        <f t="shared" si="51"/>
        <v>0</v>
      </c>
      <c r="Z74" s="12">
        <f t="shared" si="52"/>
        <v>0</v>
      </c>
      <c r="AA74" s="14">
        <f t="shared" si="53"/>
        <v>0</v>
      </c>
      <c r="AB74" s="12">
        <f t="shared" si="54"/>
        <v>0</v>
      </c>
      <c r="AC74" s="15" t="b">
        <f>IF(OR(A74="",B74=""),FALSE,SubscribeQuotes(A74,B74))</f>
        <v>0</v>
      </c>
      <c r="AD74" s="13">
        <f t="shared" si="55"/>
        <v>0</v>
      </c>
    </row>
    <row r="75" spans="1:30">
      <c r="A75" s="9"/>
      <c r="B75" s="9"/>
      <c r="C75" s="10" t="str">
        <f t="shared" si="30"/>
        <v/>
      </c>
      <c r="D75" s="12">
        <f t="shared" si="31"/>
        <v>0</v>
      </c>
      <c r="E75" s="13">
        <f t="shared" si="32"/>
        <v>0</v>
      </c>
      <c r="F75" s="12">
        <f t="shared" si="33"/>
        <v>0</v>
      </c>
      <c r="G75" s="12">
        <f t="shared" si="34"/>
        <v>0</v>
      </c>
      <c r="H75" s="12">
        <f t="shared" si="35"/>
        <v>0</v>
      </c>
      <c r="I75" s="13">
        <f t="shared" si="36"/>
        <v>0</v>
      </c>
      <c r="J75" s="12">
        <f t="shared" si="37"/>
        <v>0</v>
      </c>
      <c r="K75" s="13">
        <f t="shared" si="38"/>
        <v>0</v>
      </c>
      <c r="L75" s="12">
        <f t="shared" si="39"/>
        <v>0</v>
      </c>
      <c r="M75" s="13">
        <f t="shared" si="40"/>
        <v>0</v>
      </c>
      <c r="N75" s="12">
        <f t="shared" si="41"/>
        <v>0</v>
      </c>
      <c r="O75" s="13">
        <f t="shared" si="42"/>
        <v>0</v>
      </c>
      <c r="P75" s="13">
        <f t="shared" si="43"/>
        <v>0</v>
      </c>
      <c r="Q75" s="13">
        <f t="shared" si="44"/>
        <v>0</v>
      </c>
      <c r="R75" s="12">
        <f t="shared" si="45"/>
        <v>0</v>
      </c>
      <c r="S75" s="12">
        <f t="shared" si="46"/>
        <v>0</v>
      </c>
      <c r="T75" s="12">
        <f t="shared" si="47"/>
        <v>0</v>
      </c>
      <c r="U75" s="12">
        <f t="shared" si="48"/>
        <v>0</v>
      </c>
      <c r="V75" s="13">
        <f t="shared" si="49"/>
        <v>0</v>
      </c>
      <c r="W75" s="12">
        <f t="shared" si="50"/>
        <v>0</v>
      </c>
      <c r="X75" s="12">
        <f t="shared" si="29"/>
        <v>0</v>
      </c>
      <c r="Y75" s="12">
        <f t="shared" si="51"/>
        <v>0</v>
      </c>
      <c r="Z75" s="12">
        <f t="shared" si="52"/>
        <v>0</v>
      </c>
      <c r="AA75" s="14">
        <f t="shared" si="53"/>
        <v>0</v>
      </c>
      <c r="AB75" s="12">
        <f t="shared" si="54"/>
        <v>0</v>
      </c>
      <c r="AC75" s="15" t="b">
        <f>IF(OR(A75="",B75=""),FALSE,SubscribeQuotes(A75,B75))</f>
        <v>0</v>
      </c>
      <c r="AD75" s="13">
        <f t="shared" si="55"/>
        <v>0</v>
      </c>
    </row>
    <row r="76" spans="1:30">
      <c r="A76" s="9"/>
      <c r="B76" s="9"/>
      <c r="C76" s="10" t="str">
        <f t="shared" si="30"/>
        <v/>
      </c>
      <c r="D76" s="12">
        <f t="shared" si="31"/>
        <v>0</v>
      </c>
      <c r="E76" s="13">
        <f t="shared" si="32"/>
        <v>0</v>
      </c>
      <c r="F76" s="12">
        <f t="shared" si="33"/>
        <v>0</v>
      </c>
      <c r="G76" s="12">
        <f t="shared" si="34"/>
        <v>0</v>
      </c>
      <c r="H76" s="12">
        <f t="shared" si="35"/>
        <v>0</v>
      </c>
      <c r="I76" s="13">
        <f t="shared" si="36"/>
        <v>0</v>
      </c>
      <c r="J76" s="12">
        <f t="shared" si="37"/>
        <v>0</v>
      </c>
      <c r="K76" s="13">
        <f t="shared" si="38"/>
        <v>0</v>
      </c>
      <c r="L76" s="12">
        <f t="shared" si="39"/>
        <v>0</v>
      </c>
      <c r="M76" s="13">
        <f t="shared" si="40"/>
        <v>0</v>
      </c>
      <c r="N76" s="12">
        <f t="shared" si="41"/>
        <v>0</v>
      </c>
      <c r="O76" s="13">
        <f t="shared" si="42"/>
        <v>0</v>
      </c>
      <c r="P76" s="13">
        <f t="shared" si="43"/>
        <v>0</v>
      </c>
      <c r="Q76" s="13">
        <f t="shared" si="44"/>
        <v>0</v>
      </c>
      <c r="R76" s="12">
        <f t="shared" si="45"/>
        <v>0</v>
      </c>
      <c r="S76" s="12">
        <f t="shared" si="46"/>
        <v>0</v>
      </c>
      <c r="T76" s="12">
        <f t="shared" si="47"/>
        <v>0</v>
      </c>
      <c r="U76" s="12">
        <f t="shared" si="48"/>
        <v>0</v>
      </c>
      <c r="V76" s="13">
        <f t="shared" si="49"/>
        <v>0</v>
      </c>
      <c r="W76" s="12">
        <f t="shared" si="50"/>
        <v>0</v>
      </c>
      <c r="X76" s="12">
        <f t="shared" si="29"/>
        <v>0</v>
      </c>
      <c r="Y76" s="12">
        <f t="shared" si="51"/>
        <v>0</v>
      </c>
      <c r="Z76" s="12">
        <f t="shared" si="52"/>
        <v>0</v>
      </c>
      <c r="AA76" s="14">
        <f t="shared" si="53"/>
        <v>0</v>
      </c>
      <c r="AB76" s="12">
        <f t="shared" si="54"/>
        <v>0</v>
      </c>
      <c r="AC76" s="15" t="b">
        <f>IF(OR(A76="",B76=""),FALSE,SubscribeQuotes(A76,B76))</f>
        <v>0</v>
      </c>
      <c r="AD76" s="13">
        <f t="shared" si="55"/>
        <v>0</v>
      </c>
    </row>
    <row r="77" spans="1:30">
      <c r="A77" s="9"/>
      <c r="B77" s="9"/>
      <c r="C77" s="10" t="str">
        <f t="shared" si="30"/>
        <v/>
      </c>
      <c r="D77" s="12">
        <f t="shared" si="31"/>
        <v>0</v>
      </c>
      <c r="E77" s="13">
        <f t="shared" si="32"/>
        <v>0</v>
      </c>
      <c r="F77" s="12">
        <f t="shared" si="33"/>
        <v>0</v>
      </c>
      <c r="G77" s="12">
        <f t="shared" si="34"/>
        <v>0</v>
      </c>
      <c r="H77" s="12">
        <f t="shared" si="35"/>
        <v>0</v>
      </c>
      <c r="I77" s="13">
        <f t="shared" si="36"/>
        <v>0</v>
      </c>
      <c r="J77" s="12">
        <f t="shared" si="37"/>
        <v>0</v>
      </c>
      <c r="K77" s="13">
        <f t="shared" si="38"/>
        <v>0</v>
      </c>
      <c r="L77" s="12">
        <f t="shared" si="39"/>
        <v>0</v>
      </c>
      <c r="M77" s="13">
        <f t="shared" si="40"/>
        <v>0</v>
      </c>
      <c r="N77" s="12">
        <f t="shared" si="41"/>
        <v>0</v>
      </c>
      <c r="O77" s="13">
        <f t="shared" si="42"/>
        <v>0</v>
      </c>
      <c r="P77" s="13">
        <f t="shared" si="43"/>
        <v>0</v>
      </c>
      <c r="Q77" s="13">
        <f t="shared" si="44"/>
        <v>0</v>
      </c>
      <c r="R77" s="12">
        <f t="shared" si="45"/>
        <v>0</v>
      </c>
      <c r="S77" s="12">
        <f t="shared" si="46"/>
        <v>0</v>
      </c>
      <c r="T77" s="12">
        <f t="shared" si="47"/>
        <v>0</v>
      </c>
      <c r="U77" s="12">
        <f t="shared" si="48"/>
        <v>0</v>
      </c>
      <c r="V77" s="13">
        <f t="shared" si="49"/>
        <v>0</v>
      </c>
      <c r="W77" s="12">
        <f t="shared" si="50"/>
        <v>0</v>
      </c>
      <c r="X77" s="12">
        <f t="shared" si="29"/>
        <v>0</v>
      </c>
      <c r="Y77" s="12">
        <f t="shared" si="51"/>
        <v>0</v>
      </c>
      <c r="Z77" s="12">
        <f t="shared" si="52"/>
        <v>0</v>
      </c>
      <c r="AA77" s="14">
        <f t="shared" si="53"/>
        <v>0</v>
      </c>
      <c r="AB77" s="12">
        <f t="shared" si="54"/>
        <v>0</v>
      </c>
      <c r="AC77" s="15" t="b">
        <f>IF(OR(A77="",B77=""),FALSE,SubscribeQuotes(A77,B77))</f>
        <v>0</v>
      </c>
      <c r="AD77" s="13">
        <f t="shared" si="55"/>
        <v>0</v>
      </c>
    </row>
    <row r="78" spans="1:30">
      <c r="A78" s="9"/>
      <c r="B78" s="9"/>
      <c r="C78" s="10" t="str">
        <f t="shared" si="30"/>
        <v/>
      </c>
      <c r="D78" s="12">
        <f t="shared" si="31"/>
        <v>0</v>
      </c>
      <c r="E78" s="13">
        <f t="shared" si="32"/>
        <v>0</v>
      </c>
      <c r="F78" s="12">
        <f t="shared" si="33"/>
        <v>0</v>
      </c>
      <c r="G78" s="12">
        <f t="shared" si="34"/>
        <v>0</v>
      </c>
      <c r="H78" s="12">
        <f t="shared" si="35"/>
        <v>0</v>
      </c>
      <c r="I78" s="13">
        <f t="shared" si="36"/>
        <v>0</v>
      </c>
      <c r="J78" s="12">
        <f t="shared" si="37"/>
        <v>0</v>
      </c>
      <c r="K78" s="13">
        <f t="shared" si="38"/>
        <v>0</v>
      </c>
      <c r="L78" s="12">
        <f t="shared" si="39"/>
        <v>0</v>
      </c>
      <c r="M78" s="13">
        <f t="shared" si="40"/>
        <v>0</v>
      </c>
      <c r="N78" s="12">
        <f t="shared" si="41"/>
        <v>0</v>
      </c>
      <c r="O78" s="13">
        <f t="shared" si="42"/>
        <v>0</v>
      </c>
      <c r="P78" s="13">
        <f t="shared" si="43"/>
        <v>0</v>
      </c>
      <c r="Q78" s="13">
        <f t="shared" si="44"/>
        <v>0</v>
      </c>
      <c r="R78" s="12">
        <f t="shared" si="45"/>
        <v>0</v>
      </c>
      <c r="S78" s="12">
        <f t="shared" si="46"/>
        <v>0</v>
      </c>
      <c r="T78" s="12">
        <f t="shared" si="47"/>
        <v>0</v>
      </c>
      <c r="U78" s="12">
        <f t="shared" si="48"/>
        <v>0</v>
      </c>
      <c r="V78" s="13">
        <f t="shared" si="49"/>
        <v>0</v>
      </c>
      <c r="W78" s="12">
        <f t="shared" si="50"/>
        <v>0</v>
      </c>
      <c r="X78" s="12">
        <f t="shared" si="29"/>
        <v>0</v>
      </c>
      <c r="Y78" s="12">
        <f t="shared" si="51"/>
        <v>0</v>
      </c>
      <c r="Z78" s="12">
        <f t="shared" si="52"/>
        <v>0</v>
      </c>
      <c r="AA78" s="14">
        <f t="shared" si="53"/>
        <v>0</v>
      </c>
      <c r="AB78" s="12">
        <f t="shared" si="54"/>
        <v>0</v>
      </c>
      <c r="AC78" s="15" t="b">
        <f>IF(OR(A78="",B78=""),FALSE,SubscribeQuotes(A78,B78))</f>
        <v>0</v>
      </c>
      <c r="AD78" s="13">
        <f t="shared" si="55"/>
        <v>0</v>
      </c>
    </row>
    <row r="79" spans="1:30">
      <c r="A79" s="9"/>
      <c r="B79" s="9"/>
      <c r="C79" s="10" t="str">
        <f t="shared" si="30"/>
        <v/>
      </c>
      <c r="D79" s="12">
        <f t="shared" si="31"/>
        <v>0</v>
      </c>
      <c r="E79" s="13">
        <f t="shared" si="32"/>
        <v>0</v>
      </c>
      <c r="F79" s="12">
        <f t="shared" si="33"/>
        <v>0</v>
      </c>
      <c r="G79" s="12">
        <f t="shared" si="34"/>
        <v>0</v>
      </c>
      <c r="H79" s="12">
        <f t="shared" si="35"/>
        <v>0</v>
      </c>
      <c r="I79" s="13">
        <f t="shared" si="36"/>
        <v>0</v>
      </c>
      <c r="J79" s="12">
        <f t="shared" si="37"/>
        <v>0</v>
      </c>
      <c r="K79" s="13">
        <f t="shared" si="38"/>
        <v>0</v>
      </c>
      <c r="L79" s="12">
        <f t="shared" si="39"/>
        <v>0</v>
      </c>
      <c r="M79" s="13">
        <f t="shared" si="40"/>
        <v>0</v>
      </c>
      <c r="N79" s="12">
        <f t="shared" si="41"/>
        <v>0</v>
      </c>
      <c r="O79" s="13">
        <f t="shared" si="42"/>
        <v>0</v>
      </c>
      <c r="P79" s="13">
        <f t="shared" si="43"/>
        <v>0</v>
      </c>
      <c r="Q79" s="13">
        <f t="shared" si="44"/>
        <v>0</v>
      </c>
      <c r="R79" s="12">
        <f t="shared" si="45"/>
        <v>0</v>
      </c>
      <c r="S79" s="12">
        <f t="shared" si="46"/>
        <v>0</v>
      </c>
      <c r="T79" s="12">
        <f t="shared" si="47"/>
        <v>0</v>
      </c>
      <c r="U79" s="12">
        <f t="shared" si="48"/>
        <v>0</v>
      </c>
      <c r="V79" s="13">
        <f t="shared" si="49"/>
        <v>0</v>
      </c>
      <c r="W79" s="12">
        <f t="shared" si="50"/>
        <v>0</v>
      </c>
      <c r="X79" s="12">
        <f t="shared" si="29"/>
        <v>0</v>
      </c>
      <c r="Y79" s="12">
        <f t="shared" si="51"/>
        <v>0</v>
      </c>
      <c r="Z79" s="12">
        <f t="shared" si="52"/>
        <v>0</v>
      </c>
      <c r="AA79" s="14">
        <f t="shared" si="53"/>
        <v>0</v>
      </c>
      <c r="AB79" s="12">
        <f t="shared" si="54"/>
        <v>0</v>
      </c>
      <c r="AC79" s="15" t="b">
        <f>IF(OR(A79="",B79=""),FALSE,SubscribeQuotes(A79,B79))</f>
        <v>0</v>
      </c>
      <c r="AD79" s="13">
        <f t="shared" si="55"/>
        <v>0</v>
      </c>
    </row>
    <row r="80" spans="1:30">
      <c r="A80" s="9"/>
      <c r="B80" s="9"/>
      <c r="C80" s="10" t="str">
        <f t="shared" si="30"/>
        <v/>
      </c>
      <c r="D80" s="12">
        <f t="shared" si="31"/>
        <v>0</v>
      </c>
      <c r="E80" s="13">
        <f t="shared" si="32"/>
        <v>0</v>
      </c>
      <c r="F80" s="12">
        <f t="shared" si="33"/>
        <v>0</v>
      </c>
      <c r="G80" s="12">
        <f t="shared" si="34"/>
        <v>0</v>
      </c>
      <c r="H80" s="12">
        <f t="shared" si="35"/>
        <v>0</v>
      </c>
      <c r="I80" s="13">
        <f t="shared" si="36"/>
        <v>0</v>
      </c>
      <c r="J80" s="12">
        <f t="shared" si="37"/>
        <v>0</v>
      </c>
      <c r="K80" s="13">
        <f t="shared" si="38"/>
        <v>0</v>
      </c>
      <c r="L80" s="12">
        <f t="shared" si="39"/>
        <v>0</v>
      </c>
      <c r="M80" s="13">
        <f t="shared" si="40"/>
        <v>0</v>
      </c>
      <c r="N80" s="12">
        <f t="shared" si="41"/>
        <v>0</v>
      </c>
      <c r="O80" s="13">
        <f t="shared" si="42"/>
        <v>0</v>
      </c>
      <c r="P80" s="13">
        <f t="shared" si="43"/>
        <v>0</v>
      </c>
      <c r="Q80" s="13">
        <f t="shared" si="44"/>
        <v>0</v>
      </c>
      <c r="R80" s="12">
        <f t="shared" si="45"/>
        <v>0</v>
      </c>
      <c r="S80" s="12">
        <f t="shared" si="46"/>
        <v>0</v>
      </c>
      <c r="T80" s="12">
        <f t="shared" si="47"/>
        <v>0</v>
      </c>
      <c r="U80" s="12">
        <f t="shared" si="48"/>
        <v>0</v>
      </c>
      <c r="V80" s="13">
        <f t="shared" si="49"/>
        <v>0</v>
      </c>
      <c r="W80" s="12">
        <f t="shared" si="50"/>
        <v>0</v>
      </c>
      <c r="X80" s="12">
        <f t="shared" si="29"/>
        <v>0</v>
      </c>
      <c r="Y80" s="12">
        <f t="shared" si="51"/>
        <v>0</v>
      </c>
      <c r="Z80" s="12">
        <f t="shared" si="52"/>
        <v>0</v>
      </c>
      <c r="AA80" s="14">
        <f t="shared" si="53"/>
        <v>0</v>
      </c>
      <c r="AB80" s="12">
        <f t="shared" si="54"/>
        <v>0</v>
      </c>
      <c r="AC80" s="15" t="b">
        <f>IF(OR(A80="",B80=""),FALSE,SubscribeQuotes(A80,B80))</f>
        <v>0</v>
      </c>
      <c r="AD80" s="13">
        <f t="shared" si="55"/>
        <v>0</v>
      </c>
    </row>
    <row r="81" spans="1:30">
      <c r="A81" s="9"/>
      <c r="B81" s="9"/>
      <c r="C81" s="10" t="str">
        <f t="shared" si="30"/>
        <v/>
      </c>
      <c r="D81" s="12">
        <f t="shared" si="31"/>
        <v>0</v>
      </c>
      <c r="E81" s="13">
        <f t="shared" si="32"/>
        <v>0</v>
      </c>
      <c r="F81" s="12">
        <f t="shared" si="33"/>
        <v>0</v>
      </c>
      <c r="G81" s="12">
        <f t="shared" si="34"/>
        <v>0</v>
      </c>
      <c r="H81" s="12">
        <f t="shared" si="35"/>
        <v>0</v>
      </c>
      <c r="I81" s="13">
        <f t="shared" si="36"/>
        <v>0</v>
      </c>
      <c r="J81" s="12">
        <f t="shared" si="37"/>
        <v>0</v>
      </c>
      <c r="K81" s="13">
        <f t="shared" si="38"/>
        <v>0</v>
      </c>
      <c r="L81" s="12">
        <f t="shared" si="39"/>
        <v>0</v>
      </c>
      <c r="M81" s="13">
        <f t="shared" si="40"/>
        <v>0</v>
      </c>
      <c r="N81" s="12">
        <f t="shared" si="41"/>
        <v>0</v>
      </c>
      <c r="O81" s="13">
        <f t="shared" si="42"/>
        <v>0</v>
      </c>
      <c r="P81" s="13">
        <f t="shared" si="43"/>
        <v>0</v>
      </c>
      <c r="Q81" s="13">
        <f t="shared" si="44"/>
        <v>0</v>
      </c>
      <c r="R81" s="12">
        <f t="shared" si="45"/>
        <v>0</v>
      </c>
      <c r="S81" s="12">
        <f t="shared" si="46"/>
        <v>0</v>
      </c>
      <c r="T81" s="12">
        <f t="shared" si="47"/>
        <v>0</v>
      </c>
      <c r="U81" s="12">
        <f t="shared" si="48"/>
        <v>0</v>
      </c>
      <c r="V81" s="13">
        <f t="shared" si="49"/>
        <v>0</v>
      </c>
      <c r="W81" s="12">
        <f t="shared" si="50"/>
        <v>0</v>
      </c>
      <c r="X81" s="12">
        <f t="shared" si="29"/>
        <v>0</v>
      </c>
      <c r="Y81" s="12">
        <f t="shared" si="51"/>
        <v>0</v>
      </c>
      <c r="Z81" s="12">
        <f t="shared" si="52"/>
        <v>0</v>
      </c>
      <c r="AA81" s="14">
        <f t="shared" si="53"/>
        <v>0</v>
      </c>
      <c r="AB81" s="12">
        <f t="shared" si="54"/>
        <v>0</v>
      </c>
      <c r="AC81" s="15" t="b">
        <f>IF(OR(A81="",B81=""),FALSE,SubscribeQuotes(A81,B81))</f>
        <v>0</v>
      </c>
      <c r="AD81" s="13">
        <f t="shared" si="55"/>
        <v>0</v>
      </c>
    </row>
    <row r="82" spans="1:30">
      <c r="A82" s="9"/>
      <c r="B82" s="9"/>
      <c r="C82" s="10" t="str">
        <f t="shared" si="30"/>
        <v/>
      </c>
      <c r="D82" s="12">
        <f t="shared" si="31"/>
        <v>0</v>
      </c>
      <c r="E82" s="13">
        <f t="shared" si="32"/>
        <v>0</v>
      </c>
      <c r="F82" s="12">
        <f t="shared" si="33"/>
        <v>0</v>
      </c>
      <c r="G82" s="12">
        <f t="shared" si="34"/>
        <v>0</v>
      </c>
      <c r="H82" s="12">
        <f t="shared" si="35"/>
        <v>0</v>
      </c>
      <c r="I82" s="13">
        <f t="shared" si="36"/>
        <v>0</v>
      </c>
      <c r="J82" s="12">
        <f t="shared" si="37"/>
        <v>0</v>
      </c>
      <c r="K82" s="13">
        <f t="shared" si="38"/>
        <v>0</v>
      </c>
      <c r="L82" s="12">
        <f t="shared" si="39"/>
        <v>0</v>
      </c>
      <c r="M82" s="13">
        <f t="shared" si="40"/>
        <v>0</v>
      </c>
      <c r="N82" s="12">
        <f t="shared" si="41"/>
        <v>0</v>
      </c>
      <c r="O82" s="13">
        <f t="shared" si="42"/>
        <v>0</v>
      </c>
      <c r="P82" s="13">
        <f t="shared" si="43"/>
        <v>0</v>
      </c>
      <c r="Q82" s="13">
        <f t="shared" si="44"/>
        <v>0</v>
      </c>
      <c r="R82" s="12">
        <f t="shared" si="45"/>
        <v>0</v>
      </c>
      <c r="S82" s="12">
        <f t="shared" si="46"/>
        <v>0</v>
      </c>
      <c r="T82" s="12">
        <f t="shared" si="47"/>
        <v>0</v>
      </c>
      <c r="U82" s="12">
        <f t="shared" si="48"/>
        <v>0</v>
      </c>
      <c r="V82" s="13">
        <f t="shared" si="49"/>
        <v>0</v>
      </c>
      <c r="W82" s="12">
        <f t="shared" si="50"/>
        <v>0</v>
      </c>
      <c r="X82" s="12">
        <f t="shared" si="29"/>
        <v>0</v>
      </c>
      <c r="Y82" s="12">
        <f t="shared" si="51"/>
        <v>0</v>
      </c>
      <c r="Z82" s="12">
        <f t="shared" si="52"/>
        <v>0</v>
      </c>
      <c r="AA82" s="14">
        <f t="shared" si="53"/>
        <v>0</v>
      </c>
      <c r="AB82" s="12">
        <f t="shared" si="54"/>
        <v>0</v>
      </c>
      <c r="AC82" s="15" t="b">
        <f>IF(OR(A82="",B82=""),FALSE,SubscribeQuotes(A82,B82))</f>
        <v>0</v>
      </c>
      <c r="AD82" s="13">
        <f t="shared" si="55"/>
        <v>0</v>
      </c>
    </row>
    <row r="83" spans="1:30">
      <c r="A83" s="9"/>
      <c r="B83" s="9"/>
      <c r="C83" s="10" t="str">
        <f t="shared" si="30"/>
        <v/>
      </c>
      <c r="D83" s="12">
        <f t="shared" si="31"/>
        <v>0</v>
      </c>
      <c r="E83" s="13">
        <f t="shared" si="32"/>
        <v>0</v>
      </c>
      <c r="F83" s="12">
        <f t="shared" si="33"/>
        <v>0</v>
      </c>
      <c r="G83" s="12">
        <f t="shared" si="34"/>
        <v>0</v>
      </c>
      <c r="H83" s="12">
        <f t="shared" si="35"/>
        <v>0</v>
      </c>
      <c r="I83" s="13">
        <f t="shared" si="36"/>
        <v>0</v>
      </c>
      <c r="J83" s="12">
        <f t="shared" si="37"/>
        <v>0</v>
      </c>
      <c r="K83" s="13">
        <f t="shared" si="38"/>
        <v>0</v>
      </c>
      <c r="L83" s="12">
        <f t="shared" si="39"/>
        <v>0</v>
      </c>
      <c r="M83" s="13">
        <f t="shared" si="40"/>
        <v>0</v>
      </c>
      <c r="N83" s="12">
        <f t="shared" si="41"/>
        <v>0</v>
      </c>
      <c r="O83" s="13">
        <f t="shared" si="42"/>
        <v>0</v>
      </c>
      <c r="P83" s="13">
        <f t="shared" si="43"/>
        <v>0</v>
      </c>
      <c r="Q83" s="13">
        <f t="shared" si="44"/>
        <v>0</v>
      </c>
      <c r="R83" s="12">
        <f t="shared" si="45"/>
        <v>0</v>
      </c>
      <c r="S83" s="12">
        <f t="shared" si="46"/>
        <v>0</v>
      </c>
      <c r="T83" s="12">
        <f t="shared" si="47"/>
        <v>0</v>
      </c>
      <c r="U83" s="12">
        <f t="shared" si="48"/>
        <v>0</v>
      </c>
      <c r="V83" s="13">
        <f t="shared" si="49"/>
        <v>0</v>
      </c>
      <c r="W83" s="12">
        <f t="shared" si="50"/>
        <v>0</v>
      </c>
      <c r="X83" s="12">
        <f t="shared" si="29"/>
        <v>0</v>
      </c>
      <c r="Y83" s="12">
        <f t="shared" si="51"/>
        <v>0</v>
      </c>
      <c r="Z83" s="12">
        <f t="shared" si="52"/>
        <v>0</v>
      </c>
      <c r="AA83" s="14">
        <f t="shared" si="53"/>
        <v>0</v>
      </c>
      <c r="AB83" s="12">
        <f t="shared" si="54"/>
        <v>0</v>
      </c>
      <c r="AC83" s="15" t="b">
        <f>IF(OR(A83="",B83=""),FALSE,SubscribeQuotes(A83,B83))</f>
        <v>0</v>
      </c>
      <c r="AD83" s="13">
        <f t="shared" si="55"/>
        <v>0</v>
      </c>
    </row>
    <row r="84" spans="1:30">
      <c r="A84" s="9"/>
      <c r="B84" s="9"/>
      <c r="C84" s="10" t="str">
        <f t="shared" si="30"/>
        <v/>
      </c>
      <c r="D84" s="12">
        <f t="shared" si="31"/>
        <v>0</v>
      </c>
      <c r="E84" s="13">
        <f t="shared" si="32"/>
        <v>0</v>
      </c>
      <c r="F84" s="12">
        <f t="shared" si="33"/>
        <v>0</v>
      </c>
      <c r="G84" s="12">
        <f t="shared" si="34"/>
        <v>0</v>
      </c>
      <c r="H84" s="12">
        <f t="shared" si="35"/>
        <v>0</v>
      </c>
      <c r="I84" s="13">
        <f t="shared" si="36"/>
        <v>0</v>
      </c>
      <c r="J84" s="12">
        <f t="shared" si="37"/>
        <v>0</v>
      </c>
      <c r="K84" s="13">
        <f t="shared" si="38"/>
        <v>0</v>
      </c>
      <c r="L84" s="12">
        <f t="shared" si="39"/>
        <v>0</v>
      </c>
      <c r="M84" s="13">
        <f t="shared" si="40"/>
        <v>0</v>
      </c>
      <c r="N84" s="12">
        <f t="shared" si="41"/>
        <v>0</v>
      </c>
      <c r="O84" s="13">
        <f t="shared" si="42"/>
        <v>0</v>
      </c>
      <c r="P84" s="13">
        <f t="shared" si="43"/>
        <v>0</v>
      </c>
      <c r="Q84" s="13">
        <f t="shared" si="44"/>
        <v>0</v>
      </c>
      <c r="R84" s="12">
        <f t="shared" si="45"/>
        <v>0</v>
      </c>
      <c r="S84" s="12">
        <f t="shared" si="46"/>
        <v>0</v>
      </c>
      <c r="T84" s="12">
        <f t="shared" si="47"/>
        <v>0</v>
      </c>
      <c r="U84" s="12">
        <f t="shared" si="48"/>
        <v>0</v>
      </c>
      <c r="V84" s="13">
        <f t="shared" si="49"/>
        <v>0</v>
      </c>
      <c r="W84" s="12">
        <f t="shared" si="50"/>
        <v>0</v>
      </c>
      <c r="X84" s="12">
        <f t="shared" si="29"/>
        <v>0</v>
      </c>
      <c r="Y84" s="12">
        <f t="shared" si="51"/>
        <v>0</v>
      </c>
      <c r="Z84" s="12">
        <f t="shared" si="52"/>
        <v>0</v>
      </c>
      <c r="AA84" s="14">
        <f t="shared" si="53"/>
        <v>0</v>
      </c>
      <c r="AB84" s="12">
        <f t="shared" si="54"/>
        <v>0</v>
      </c>
      <c r="AC84" s="15" t="b">
        <f>IF(OR(A84="",B84=""),FALSE,SubscribeQuotes(A84,B84))</f>
        <v>0</v>
      </c>
      <c r="AD84" s="13">
        <f t="shared" si="55"/>
        <v>0</v>
      </c>
    </row>
    <row r="85" spans="1:30">
      <c r="A85" s="9"/>
      <c r="B85" s="9"/>
      <c r="C85" s="10" t="str">
        <f t="shared" si="30"/>
        <v/>
      </c>
      <c r="D85" s="12">
        <f t="shared" si="31"/>
        <v>0</v>
      </c>
      <c r="E85" s="13">
        <f t="shared" si="32"/>
        <v>0</v>
      </c>
      <c r="F85" s="12">
        <f t="shared" si="33"/>
        <v>0</v>
      </c>
      <c r="G85" s="12">
        <f t="shared" si="34"/>
        <v>0</v>
      </c>
      <c r="H85" s="12">
        <f t="shared" si="35"/>
        <v>0</v>
      </c>
      <c r="I85" s="13">
        <f t="shared" si="36"/>
        <v>0</v>
      </c>
      <c r="J85" s="12">
        <f t="shared" si="37"/>
        <v>0</v>
      </c>
      <c r="K85" s="13">
        <f t="shared" si="38"/>
        <v>0</v>
      </c>
      <c r="L85" s="12">
        <f t="shared" si="39"/>
        <v>0</v>
      </c>
      <c r="M85" s="13">
        <f t="shared" si="40"/>
        <v>0</v>
      </c>
      <c r="N85" s="12">
        <f t="shared" si="41"/>
        <v>0</v>
      </c>
      <c r="O85" s="13">
        <f t="shared" si="42"/>
        <v>0</v>
      </c>
      <c r="P85" s="13">
        <f t="shared" si="43"/>
        <v>0</v>
      </c>
      <c r="Q85" s="13">
        <f t="shared" si="44"/>
        <v>0</v>
      </c>
      <c r="R85" s="12">
        <f t="shared" si="45"/>
        <v>0</v>
      </c>
      <c r="S85" s="12">
        <f t="shared" si="46"/>
        <v>0</v>
      </c>
      <c r="T85" s="12">
        <f t="shared" si="47"/>
        <v>0</v>
      </c>
      <c r="U85" s="12">
        <f t="shared" si="48"/>
        <v>0</v>
      </c>
      <c r="V85" s="13">
        <f t="shared" si="49"/>
        <v>0</v>
      </c>
      <c r="W85" s="12">
        <f t="shared" si="50"/>
        <v>0</v>
      </c>
      <c r="X85" s="12">
        <f t="shared" si="29"/>
        <v>0</v>
      </c>
      <c r="Y85" s="12">
        <f t="shared" si="51"/>
        <v>0</v>
      </c>
      <c r="Z85" s="12">
        <f t="shared" si="52"/>
        <v>0</v>
      </c>
      <c r="AA85" s="14">
        <f t="shared" si="53"/>
        <v>0</v>
      </c>
      <c r="AB85" s="12">
        <f t="shared" si="54"/>
        <v>0</v>
      </c>
      <c r="AC85" s="15" t="b">
        <f>IF(OR(A85="",B85=""),FALSE,SubscribeQuotes(A85,B85))</f>
        <v>0</v>
      </c>
      <c r="AD85" s="13">
        <f t="shared" si="55"/>
        <v>0</v>
      </c>
    </row>
    <row r="86" spans="1:30">
      <c r="A86" s="9"/>
      <c r="B86" s="9"/>
      <c r="C86" s="10" t="str">
        <f t="shared" si="30"/>
        <v/>
      </c>
      <c r="D86" s="12">
        <f t="shared" si="31"/>
        <v>0</v>
      </c>
      <c r="E86" s="13">
        <f t="shared" si="32"/>
        <v>0</v>
      </c>
      <c r="F86" s="12">
        <f t="shared" si="33"/>
        <v>0</v>
      </c>
      <c r="G86" s="12">
        <f t="shared" si="34"/>
        <v>0</v>
      </c>
      <c r="H86" s="12">
        <f t="shared" si="35"/>
        <v>0</v>
      </c>
      <c r="I86" s="13">
        <f t="shared" si="36"/>
        <v>0</v>
      </c>
      <c r="J86" s="12">
        <f t="shared" si="37"/>
        <v>0</v>
      </c>
      <c r="K86" s="13">
        <f t="shared" si="38"/>
        <v>0</v>
      </c>
      <c r="L86" s="12">
        <f t="shared" si="39"/>
        <v>0</v>
      </c>
      <c r="M86" s="13">
        <f t="shared" si="40"/>
        <v>0</v>
      </c>
      <c r="N86" s="12">
        <f t="shared" si="41"/>
        <v>0</v>
      </c>
      <c r="O86" s="13">
        <f t="shared" si="42"/>
        <v>0</v>
      </c>
      <c r="P86" s="13">
        <f t="shared" si="43"/>
        <v>0</v>
      </c>
      <c r="Q86" s="13">
        <f t="shared" si="44"/>
        <v>0</v>
      </c>
      <c r="R86" s="12">
        <f t="shared" si="45"/>
        <v>0</v>
      </c>
      <c r="S86" s="12">
        <f t="shared" si="46"/>
        <v>0</v>
      </c>
      <c r="T86" s="12">
        <f t="shared" si="47"/>
        <v>0</v>
      </c>
      <c r="U86" s="12">
        <f t="shared" si="48"/>
        <v>0</v>
      </c>
      <c r="V86" s="13">
        <f t="shared" si="49"/>
        <v>0</v>
      </c>
      <c r="W86" s="12">
        <f t="shared" si="50"/>
        <v>0</v>
      </c>
      <c r="X86" s="12">
        <f t="shared" si="29"/>
        <v>0</v>
      </c>
      <c r="Y86" s="12">
        <f t="shared" si="51"/>
        <v>0</v>
      </c>
      <c r="Z86" s="12">
        <f t="shared" si="52"/>
        <v>0</v>
      </c>
      <c r="AA86" s="14">
        <f t="shared" si="53"/>
        <v>0</v>
      </c>
      <c r="AB86" s="12">
        <f t="shared" si="54"/>
        <v>0</v>
      </c>
      <c r="AC86" s="15" t="b">
        <f>IF(OR(A86="",B86=""),FALSE,SubscribeQuotes(A86,B86))</f>
        <v>0</v>
      </c>
      <c r="AD86" s="13">
        <f t="shared" si="55"/>
        <v>0</v>
      </c>
    </row>
    <row r="87" spans="1:30">
      <c r="A87" s="9"/>
      <c r="B87" s="9"/>
      <c r="C87" s="10" t="str">
        <f t="shared" si="30"/>
        <v/>
      </c>
      <c r="D87" s="12">
        <f t="shared" si="31"/>
        <v>0</v>
      </c>
      <c r="E87" s="13">
        <f t="shared" si="32"/>
        <v>0</v>
      </c>
      <c r="F87" s="12">
        <f t="shared" si="33"/>
        <v>0</v>
      </c>
      <c r="G87" s="12">
        <f t="shared" si="34"/>
        <v>0</v>
      </c>
      <c r="H87" s="12">
        <f t="shared" si="35"/>
        <v>0</v>
      </c>
      <c r="I87" s="13">
        <f t="shared" si="36"/>
        <v>0</v>
      </c>
      <c r="J87" s="12">
        <f t="shared" si="37"/>
        <v>0</v>
      </c>
      <c r="K87" s="13">
        <f t="shared" si="38"/>
        <v>0</v>
      </c>
      <c r="L87" s="12">
        <f t="shared" si="39"/>
        <v>0</v>
      </c>
      <c r="M87" s="13">
        <f t="shared" si="40"/>
        <v>0</v>
      </c>
      <c r="N87" s="12">
        <f t="shared" si="41"/>
        <v>0</v>
      </c>
      <c r="O87" s="13">
        <f t="shared" si="42"/>
        <v>0</v>
      </c>
      <c r="P87" s="13">
        <f t="shared" si="43"/>
        <v>0</v>
      </c>
      <c r="Q87" s="13">
        <f t="shared" si="44"/>
        <v>0</v>
      </c>
      <c r="R87" s="12">
        <f t="shared" si="45"/>
        <v>0</v>
      </c>
      <c r="S87" s="12">
        <f t="shared" si="46"/>
        <v>0</v>
      </c>
      <c r="T87" s="12">
        <f t="shared" si="47"/>
        <v>0</v>
      </c>
      <c r="U87" s="12">
        <f t="shared" si="48"/>
        <v>0</v>
      </c>
      <c r="V87" s="13">
        <f t="shared" si="49"/>
        <v>0</v>
      </c>
      <c r="W87" s="12">
        <f t="shared" si="50"/>
        <v>0</v>
      </c>
      <c r="X87" s="12">
        <f t="shared" si="29"/>
        <v>0</v>
      </c>
      <c r="Y87" s="12">
        <f t="shared" si="51"/>
        <v>0</v>
      </c>
      <c r="Z87" s="12">
        <f t="shared" si="52"/>
        <v>0</v>
      </c>
      <c r="AA87" s="14">
        <f t="shared" si="53"/>
        <v>0</v>
      </c>
      <c r="AB87" s="12">
        <f t="shared" si="54"/>
        <v>0</v>
      </c>
      <c r="AC87" s="15" t="b">
        <f>IF(OR(A87="",B87=""),FALSE,SubscribeQuotes(A87,B87))</f>
        <v>0</v>
      </c>
      <c r="AD87" s="13">
        <f t="shared" si="55"/>
        <v>0</v>
      </c>
    </row>
    <row r="88" spans="1:30">
      <c r="A88" s="9"/>
      <c r="B88" s="9"/>
      <c r="C88" s="10" t="str">
        <f t="shared" si="30"/>
        <v/>
      </c>
      <c r="D88" s="12">
        <f t="shared" si="31"/>
        <v>0</v>
      </c>
      <c r="E88" s="13">
        <f t="shared" si="32"/>
        <v>0</v>
      </c>
      <c r="F88" s="12">
        <f t="shared" si="33"/>
        <v>0</v>
      </c>
      <c r="G88" s="12">
        <f t="shared" si="34"/>
        <v>0</v>
      </c>
      <c r="H88" s="12">
        <f t="shared" si="35"/>
        <v>0</v>
      </c>
      <c r="I88" s="13">
        <f t="shared" si="36"/>
        <v>0</v>
      </c>
      <c r="J88" s="12">
        <f t="shared" si="37"/>
        <v>0</v>
      </c>
      <c r="K88" s="13">
        <f t="shared" si="38"/>
        <v>0</v>
      </c>
      <c r="L88" s="12">
        <f t="shared" si="39"/>
        <v>0</v>
      </c>
      <c r="M88" s="13">
        <f t="shared" si="40"/>
        <v>0</v>
      </c>
      <c r="N88" s="12">
        <f t="shared" si="41"/>
        <v>0</v>
      </c>
      <c r="O88" s="13">
        <f t="shared" si="42"/>
        <v>0</v>
      </c>
      <c r="P88" s="13">
        <f t="shared" si="43"/>
        <v>0</v>
      </c>
      <c r="Q88" s="13">
        <f t="shared" si="44"/>
        <v>0</v>
      </c>
      <c r="R88" s="12">
        <f t="shared" si="45"/>
        <v>0</v>
      </c>
      <c r="S88" s="12">
        <f t="shared" si="46"/>
        <v>0</v>
      </c>
      <c r="T88" s="12">
        <f t="shared" si="47"/>
        <v>0</v>
      </c>
      <c r="U88" s="12">
        <f t="shared" si="48"/>
        <v>0</v>
      </c>
      <c r="V88" s="13">
        <f t="shared" si="49"/>
        <v>0</v>
      </c>
      <c r="W88" s="12">
        <f t="shared" si="50"/>
        <v>0</v>
      </c>
      <c r="X88" s="12">
        <f t="shared" si="29"/>
        <v>0</v>
      </c>
      <c r="Y88" s="12">
        <f t="shared" si="51"/>
        <v>0</v>
      </c>
      <c r="Z88" s="12">
        <f t="shared" si="52"/>
        <v>0</v>
      </c>
      <c r="AA88" s="14">
        <f t="shared" si="53"/>
        <v>0</v>
      </c>
      <c r="AB88" s="12">
        <f t="shared" si="54"/>
        <v>0</v>
      </c>
      <c r="AC88" s="15" t="b">
        <f>IF(OR(A88="",B88=""),FALSE,SubscribeQuotes(A88,B88))</f>
        <v>0</v>
      </c>
      <c r="AD88" s="13">
        <f t="shared" si="55"/>
        <v>0</v>
      </c>
    </row>
    <row r="89" spans="1:30">
      <c r="A89" s="9"/>
      <c r="B89" s="9"/>
      <c r="C89" s="10" t="str">
        <f t="shared" si="30"/>
        <v/>
      </c>
      <c r="D89" s="12">
        <f t="shared" si="31"/>
        <v>0</v>
      </c>
      <c r="E89" s="13">
        <f t="shared" si="32"/>
        <v>0</v>
      </c>
      <c r="F89" s="12">
        <f t="shared" si="33"/>
        <v>0</v>
      </c>
      <c r="G89" s="12">
        <f t="shared" si="34"/>
        <v>0</v>
      </c>
      <c r="H89" s="12">
        <f t="shared" si="35"/>
        <v>0</v>
      </c>
      <c r="I89" s="13">
        <f t="shared" si="36"/>
        <v>0</v>
      </c>
      <c r="J89" s="12">
        <f t="shared" si="37"/>
        <v>0</v>
      </c>
      <c r="K89" s="13">
        <f t="shared" si="38"/>
        <v>0</v>
      </c>
      <c r="L89" s="12">
        <f t="shared" si="39"/>
        <v>0</v>
      </c>
      <c r="M89" s="13">
        <f t="shared" si="40"/>
        <v>0</v>
      </c>
      <c r="N89" s="12">
        <f t="shared" si="41"/>
        <v>0</v>
      </c>
      <c r="O89" s="13">
        <f t="shared" si="42"/>
        <v>0</v>
      </c>
      <c r="P89" s="13">
        <f t="shared" si="43"/>
        <v>0</v>
      </c>
      <c r="Q89" s="13">
        <f t="shared" si="44"/>
        <v>0</v>
      </c>
      <c r="R89" s="12">
        <f t="shared" si="45"/>
        <v>0</v>
      </c>
      <c r="S89" s="12">
        <f t="shared" si="46"/>
        <v>0</v>
      </c>
      <c r="T89" s="12">
        <f t="shared" si="47"/>
        <v>0</v>
      </c>
      <c r="U89" s="12">
        <f t="shared" si="48"/>
        <v>0</v>
      </c>
      <c r="V89" s="13">
        <f t="shared" si="49"/>
        <v>0</v>
      </c>
      <c r="W89" s="12">
        <f t="shared" si="50"/>
        <v>0</v>
      </c>
      <c r="X89" s="12">
        <f t="shared" si="29"/>
        <v>0</v>
      </c>
      <c r="Y89" s="12">
        <f t="shared" si="51"/>
        <v>0</v>
      </c>
      <c r="Z89" s="12">
        <f t="shared" si="52"/>
        <v>0</v>
      </c>
      <c r="AA89" s="14">
        <f t="shared" si="53"/>
        <v>0</v>
      </c>
      <c r="AB89" s="12">
        <f t="shared" si="54"/>
        <v>0</v>
      </c>
      <c r="AC89" s="15" t="b">
        <f>IF(OR(A89="",B89=""),FALSE,SubscribeQuotes(A89,B89))</f>
        <v>0</v>
      </c>
      <c r="AD89" s="13">
        <f t="shared" si="55"/>
        <v>0</v>
      </c>
    </row>
    <row r="90" spans="1:30">
      <c r="A90" s="9"/>
      <c r="B90" s="9"/>
      <c r="C90" s="10" t="str">
        <f t="shared" si="30"/>
        <v/>
      </c>
      <c r="D90" s="12">
        <f t="shared" si="31"/>
        <v>0</v>
      </c>
      <c r="E90" s="13">
        <f t="shared" si="32"/>
        <v>0</v>
      </c>
      <c r="F90" s="12">
        <f t="shared" si="33"/>
        <v>0</v>
      </c>
      <c r="G90" s="12">
        <f t="shared" si="34"/>
        <v>0</v>
      </c>
      <c r="H90" s="12">
        <f t="shared" si="35"/>
        <v>0</v>
      </c>
      <c r="I90" s="13">
        <f t="shared" si="36"/>
        <v>0</v>
      </c>
      <c r="J90" s="12">
        <f t="shared" si="37"/>
        <v>0</v>
      </c>
      <c r="K90" s="13">
        <f t="shared" si="38"/>
        <v>0</v>
      </c>
      <c r="L90" s="12">
        <f t="shared" si="39"/>
        <v>0</v>
      </c>
      <c r="M90" s="13">
        <f t="shared" si="40"/>
        <v>0</v>
      </c>
      <c r="N90" s="12">
        <f t="shared" si="41"/>
        <v>0</v>
      </c>
      <c r="O90" s="13">
        <f t="shared" si="42"/>
        <v>0</v>
      </c>
      <c r="P90" s="13">
        <f t="shared" si="43"/>
        <v>0</v>
      </c>
      <c r="Q90" s="13">
        <f t="shared" si="44"/>
        <v>0</v>
      </c>
      <c r="R90" s="12">
        <f t="shared" si="45"/>
        <v>0</v>
      </c>
      <c r="S90" s="12">
        <f t="shared" si="46"/>
        <v>0</v>
      </c>
      <c r="T90" s="12">
        <f t="shared" si="47"/>
        <v>0</v>
      </c>
      <c r="U90" s="12">
        <f t="shared" si="48"/>
        <v>0</v>
      </c>
      <c r="V90" s="13">
        <f t="shared" si="49"/>
        <v>0</v>
      </c>
      <c r="W90" s="12">
        <f t="shared" si="50"/>
        <v>0</v>
      </c>
      <c r="X90" s="12">
        <f t="shared" si="29"/>
        <v>0</v>
      </c>
      <c r="Y90" s="12">
        <f t="shared" si="51"/>
        <v>0</v>
      </c>
      <c r="Z90" s="12">
        <f t="shared" si="52"/>
        <v>0</v>
      </c>
      <c r="AA90" s="14">
        <f t="shared" si="53"/>
        <v>0</v>
      </c>
      <c r="AB90" s="12">
        <f t="shared" si="54"/>
        <v>0</v>
      </c>
      <c r="AC90" s="15" t="b">
        <f>IF(OR(A90="",B90=""),FALSE,SubscribeQuotes(A90,B90))</f>
        <v>0</v>
      </c>
      <c r="AD90" s="13">
        <f t="shared" si="55"/>
        <v>0</v>
      </c>
    </row>
    <row r="91" spans="1:30">
      <c r="A91" s="9"/>
      <c r="B91" s="9"/>
      <c r="C91" s="10" t="str">
        <f t="shared" si="30"/>
        <v/>
      </c>
      <c r="D91" s="12">
        <f t="shared" si="31"/>
        <v>0</v>
      </c>
      <c r="E91" s="13">
        <f t="shared" si="32"/>
        <v>0</v>
      </c>
      <c r="F91" s="12">
        <f t="shared" si="33"/>
        <v>0</v>
      </c>
      <c r="G91" s="12">
        <f t="shared" si="34"/>
        <v>0</v>
      </c>
      <c r="H91" s="12">
        <f t="shared" si="35"/>
        <v>0</v>
      </c>
      <c r="I91" s="13">
        <f t="shared" si="36"/>
        <v>0</v>
      </c>
      <c r="J91" s="12">
        <f t="shared" si="37"/>
        <v>0</v>
      </c>
      <c r="K91" s="13">
        <f t="shared" si="38"/>
        <v>0</v>
      </c>
      <c r="L91" s="12">
        <f t="shared" si="39"/>
        <v>0</v>
      </c>
      <c r="M91" s="13">
        <f t="shared" si="40"/>
        <v>0</v>
      </c>
      <c r="N91" s="12">
        <f t="shared" si="41"/>
        <v>0</v>
      </c>
      <c r="O91" s="13">
        <f t="shared" si="42"/>
        <v>0</v>
      </c>
      <c r="P91" s="13">
        <f t="shared" si="43"/>
        <v>0</v>
      </c>
      <c r="Q91" s="13">
        <f t="shared" si="44"/>
        <v>0</v>
      </c>
      <c r="R91" s="12">
        <f t="shared" si="45"/>
        <v>0</v>
      </c>
      <c r="S91" s="12">
        <f t="shared" si="46"/>
        <v>0</v>
      </c>
      <c r="T91" s="12">
        <f t="shared" si="47"/>
        <v>0</v>
      </c>
      <c r="U91" s="12">
        <f t="shared" si="48"/>
        <v>0</v>
      </c>
      <c r="V91" s="13">
        <f t="shared" si="49"/>
        <v>0</v>
      </c>
      <c r="W91" s="12">
        <f t="shared" si="50"/>
        <v>0</v>
      </c>
      <c r="X91" s="12">
        <f t="shared" si="29"/>
        <v>0</v>
      </c>
      <c r="Y91" s="12">
        <f t="shared" si="51"/>
        <v>0</v>
      </c>
      <c r="Z91" s="12">
        <f t="shared" si="52"/>
        <v>0</v>
      </c>
      <c r="AA91" s="14">
        <f t="shared" si="53"/>
        <v>0</v>
      </c>
      <c r="AB91" s="12">
        <f t="shared" si="54"/>
        <v>0</v>
      </c>
      <c r="AC91" s="15" t="b">
        <f>IF(OR(A91="",B91=""),FALSE,SubscribeQuotes(A91,B91))</f>
        <v>0</v>
      </c>
      <c r="AD91" s="13">
        <f t="shared" si="55"/>
        <v>0</v>
      </c>
    </row>
    <row r="92" spans="1:30">
      <c r="A92" s="9"/>
      <c r="B92" s="9"/>
      <c r="C92" s="10" t="str">
        <f t="shared" si="30"/>
        <v/>
      </c>
      <c r="D92" s="12">
        <f t="shared" si="31"/>
        <v>0</v>
      </c>
      <c r="E92" s="13">
        <f t="shared" si="32"/>
        <v>0</v>
      </c>
      <c r="F92" s="12">
        <f t="shared" si="33"/>
        <v>0</v>
      </c>
      <c r="G92" s="12">
        <f t="shared" si="34"/>
        <v>0</v>
      </c>
      <c r="H92" s="12">
        <f t="shared" si="35"/>
        <v>0</v>
      </c>
      <c r="I92" s="13">
        <f t="shared" si="36"/>
        <v>0</v>
      </c>
      <c r="J92" s="12">
        <f t="shared" si="37"/>
        <v>0</v>
      </c>
      <c r="K92" s="13">
        <f t="shared" si="38"/>
        <v>0</v>
      </c>
      <c r="L92" s="12">
        <f t="shared" si="39"/>
        <v>0</v>
      </c>
      <c r="M92" s="13">
        <f t="shared" si="40"/>
        <v>0</v>
      </c>
      <c r="N92" s="12">
        <f t="shared" si="41"/>
        <v>0</v>
      </c>
      <c r="O92" s="13">
        <f t="shared" si="42"/>
        <v>0</v>
      </c>
      <c r="P92" s="13">
        <f t="shared" si="43"/>
        <v>0</v>
      </c>
      <c r="Q92" s="13">
        <f t="shared" si="44"/>
        <v>0</v>
      </c>
      <c r="R92" s="12">
        <f t="shared" si="45"/>
        <v>0</v>
      </c>
      <c r="S92" s="12">
        <f t="shared" si="46"/>
        <v>0</v>
      </c>
      <c r="T92" s="12">
        <f t="shared" si="47"/>
        <v>0</v>
      </c>
      <c r="U92" s="12">
        <f t="shared" si="48"/>
        <v>0</v>
      </c>
      <c r="V92" s="13">
        <f t="shared" si="49"/>
        <v>0</v>
      </c>
      <c r="W92" s="12">
        <f t="shared" si="50"/>
        <v>0</v>
      </c>
      <c r="X92" s="12">
        <f t="shared" si="29"/>
        <v>0</v>
      </c>
      <c r="Y92" s="12">
        <f t="shared" si="51"/>
        <v>0</v>
      </c>
      <c r="Z92" s="12">
        <f t="shared" si="52"/>
        <v>0</v>
      </c>
      <c r="AA92" s="14">
        <f t="shared" si="53"/>
        <v>0</v>
      </c>
      <c r="AB92" s="12">
        <f t="shared" si="54"/>
        <v>0</v>
      </c>
      <c r="AC92" s="15" t="b">
        <f>IF(OR(A92="",B92=""),FALSE,SubscribeQuotes(A92,B92))</f>
        <v>0</v>
      </c>
      <c r="AD92" s="13">
        <f t="shared" si="55"/>
        <v>0</v>
      </c>
    </row>
    <row r="93" spans="1:30">
      <c r="A93" s="9"/>
      <c r="B93" s="9"/>
      <c r="C93" s="10" t="str">
        <f t="shared" si="30"/>
        <v/>
      </c>
      <c r="D93" s="12">
        <f t="shared" si="31"/>
        <v>0</v>
      </c>
      <c r="E93" s="13">
        <f t="shared" si="32"/>
        <v>0</v>
      </c>
      <c r="F93" s="12">
        <f t="shared" si="33"/>
        <v>0</v>
      </c>
      <c r="G93" s="12">
        <f t="shared" si="34"/>
        <v>0</v>
      </c>
      <c r="H93" s="12">
        <f t="shared" si="35"/>
        <v>0</v>
      </c>
      <c r="I93" s="13">
        <f t="shared" si="36"/>
        <v>0</v>
      </c>
      <c r="J93" s="12">
        <f t="shared" si="37"/>
        <v>0</v>
      </c>
      <c r="K93" s="13">
        <f t="shared" si="38"/>
        <v>0</v>
      </c>
      <c r="L93" s="12">
        <f t="shared" si="39"/>
        <v>0</v>
      </c>
      <c r="M93" s="13">
        <f t="shared" si="40"/>
        <v>0</v>
      </c>
      <c r="N93" s="12">
        <f t="shared" si="41"/>
        <v>0</v>
      </c>
      <c r="O93" s="13">
        <f t="shared" si="42"/>
        <v>0</v>
      </c>
      <c r="P93" s="13">
        <f t="shared" si="43"/>
        <v>0</v>
      </c>
      <c r="Q93" s="13">
        <f t="shared" si="44"/>
        <v>0</v>
      </c>
      <c r="R93" s="12">
        <f t="shared" si="45"/>
        <v>0</v>
      </c>
      <c r="S93" s="12">
        <f t="shared" si="46"/>
        <v>0</v>
      </c>
      <c r="T93" s="12">
        <f t="shared" si="47"/>
        <v>0</v>
      </c>
      <c r="U93" s="12">
        <f t="shared" si="48"/>
        <v>0</v>
      </c>
      <c r="V93" s="13">
        <f t="shared" si="49"/>
        <v>0</v>
      </c>
      <c r="W93" s="12">
        <f t="shared" si="50"/>
        <v>0</v>
      </c>
      <c r="X93" s="12">
        <f t="shared" si="29"/>
        <v>0</v>
      </c>
      <c r="Y93" s="12">
        <f t="shared" si="51"/>
        <v>0</v>
      </c>
      <c r="Z93" s="12">
        <f t="shared" si="52"/>
        <v>0</v>
      </c>
      <c r="AA93" s="14">
        <f t="shared" si="53"/>
        <v>0</v>
      </c>
      <c r="AB93" s="12">
        <f t="shared" si="54"/>
        <v>0</v>
      </c>
      <c r="AC93" s="15" t="b">
        <f>IF(OR(A93="",B93=""),FALSE,SubscribeQuotes(A93,B93))</f>
        <v>0</v>
      </c>
      <c r="AD93" s="13">
        <f t="shared" si="55"/>
        <v>0</v>
      </c>
    </row>
    <row r="94" spans="1:30">
      <c r="A94" s="9"/>
      <c r="B94" s="9"/>
      <c r="C94" s="10" t="str">
        <f t="shared" si="30"/>
        <v/>
      </c>
      <c r="D94" s="12">
        <f t="shared" si="31"/>
        <v>0</v>
      </c>
      <c r="E94" s="13">
        <f t="shared" si="32"/>
        <v>0</v>
      </c>
      <c r="F94" s="12">
        <f t="shared" si="33"/>
        <v>0</v>
      </c>
      <c r="G94" s="12">
        <f t="shared" si="34"/>
        <v>0</v>
      </c>
      <c r="H94" s="12">
        <f t="shared" si="35"/>
        <v>0</v>
      </c>
      <c r="I94" s="13">
        <f t="shared" si="36"/>
        <v>0</v>
      </c>
      <c r="J94" s="12">
        <f t="shared" si="37"/>
        <v>0</v>
      </c>
      <c r="K94" s="13">
        <f t="shared" si="38"/>
        <v>0</v>
      </c>
      <c r="L94" s="12">
        <f t="shared" si="39"/>
        <v>0</v>
      </c>
      <c r="M94" s="13">
        <f t="shared" si="40"/>
        <v>0</v>
      </c>
      <c r="N94" s="12">
        <f t="shared" si="41"/>
        <v>0</v>
      </c>
      <c r="O94" s="13">
        <f t="shared" si="42"/>
        <v>0</v>
      </c>
      <c r="P94" s="13">
        <f t="shared" si="43"/>
        <v>0</v>
      </c>
      <c r="Q94" s="13">
        <f t="shared" si="44"/>
        <v>0</v>
      </c>
      <c r="R94" s="12">
        <f t="shared" si="45"/>
        <v>0</v>
      </c>
      <c r="S94" s="12">
        <f t="shared" si="46"/>
        <v>0</v>
      </c>
      <c r="T94" s="12">
        <f t="shared" si="47"/>
        <v>0</v>
      </c>
      <c r="U94" s="12">
        <f t="shared" si="48"/>
        <v>0</v>
      </c>
      <c r="V94" s="13">
        <f t="shared" si="49"/>
        <v>0</v>
      </c>
      <c r="W94" s="12">
        <f t="shared" si="50"/>
        <v>0</v>
      </c>
      <c r="X94" s="12">
        <f t="shared" si="29"/>
        <v>0</v>
      </c>
      <c r="Y94" s="12">
        <f t="shared" si="51"/>
        <v>0</v>
      </c>
      <c r="Z94" s="12">
        <f t="shared" si="52"/>
        <v>0</v>
      </c>
      <c r="AA94" s="14">
        <f t="shared" si="53"/>
        <v>0</v>
      </c>
      <c r="AB94" s="12">
        <f t="shared" si="54"/>
        <v>0</v>
      </c>
      <c r="AC94" s="15" t="b">
        <f>IF(OR(A94="",B94=""),FALSE,SubscribeQuotes(A94,B94))</f>
        <v>0</v>
      </c>
      <c r="AD94" s="13">
        <f t="shared" si="55"/>
        <v>0</v>
      </c>
    </row>
    <row r="95" spans="1:30">
      <c r="A95" s="9"/>
      <c r="B95" s="9"/>
      <c r="C95" s="10" t="str">
        <f t="shared" si="30"/>
        <v/>
      </c>
      <c r="D95" s="12">
        <f t="shared" si="31"/>
        <v>0</v>
      </c>
      <c r="E95" s="13">
        <f t="shared" si="32"/>
        <v>0</v>
      </c>
      <c r="F95" s="12">
        <f t="shared" si="33"/>
        <v>0</v>
      </c>
      <c r="G95" s="12">
        <f t="shared" si="34"/>
        <v>0</v>
      </c>
      <c r="H95" s="12">
        <f t="shared" si="35"/>
        <v>0</v>
      </c>
      <c r="I95" s="13">
        <f t="shared" si="36"/>
        <v>0</v>
      </c>
      <c r="J95" s="12">
        <f t="shared" si="37"/>
        <v>0</v>
      </c>
      <c r="K95" s="13">
        <f t="shared" si="38"/>
        <v>0</v>
      </c>
      <c r="L95" s="12">
        <f t="shared" si="39"/>
        <v>0</v>
      </c>
      <c r="M95" s="13">
        <f t="shared" si="40"/>
        <v>0</v>
      </c>
      <c r="N95" s="12">
        <f t="shared" si="41"/>
        <v>0</v>
      </c>
      <c r="O95" s="13">
        <f t="shared" si="42"/>
        <v>0</v>
      </c>
      <c r="P95" s="13">
        <f t="shared" si="43"/>
        <v>0</v>
      </c>
      <c r="Q95" s="13">
        <f t="shared" si="44"/>
        <v>0</v>
      </c>
      <c r="R95" s="12">
        <f t="shared" si="45"/>
        <v>0</v>
      </c>
      <c r="S95" s="12">
        <f t="shared" si="46"/>
        <v>0</v>
      </c>
      <c r="T95" s="12">
        <f t="shared" si="47"/>
        <v>0</v>
      </c>
      <c r="U95" s="12">
        <f t="shared" si="48"/>
        <v>0</v>
      </c>
      <c r="V95" s="13">
        <f t="shared" si="49"/>
        <v>0</v>
      </c>
      <c r="W95" s="12">
        <f t="shared" si="50"/>
        <v>0</v>
      </c>
      <c r="X95" s="12">
        <f t="shared" si="29"/>
        <v>0</v>
      </c>
      <c r="Y95" s="12">
        <f t="shared" si="51"/>
        <v>0</v>
      </c>
      <c r="Z95" s="12">
        <f t="shared" si="52"/>
        <v>0</v>
      </c>
      <c r="AA95" s="14">
        <f t="shared" si="53"/>
        <v>0</v>
      </c>
      <c r="AB95" s="12">
        <f t="shared" si="54"/>
        <v>0</v>
      </c>
      <c r="AC95" s="15" t="b">
        <f>IF(OR(A95="",B95=""),FALSE,SubscribeQuotes(A95,B95))</f>
        <v>0</v>
      </c>
      <c r="AD95" s="13">
        <f t="shared" si="55"/>
        <v>0</v>
      </c>
    </row>
    <row r="96" spans="1:30">
      <c r="A96" s="9"/>
      <c r="B96" s="9"/>
      <c r="C96" s="10" t="str">
        <f t="shared" si="30"/>
        <v/>
      </c>
      <c r="D96" s="12">
        <f t="shared" si="31"/>
        <v>0</v>
      </c>
      <c r="E96" s="13">
        <f t="shared" si="32"/>
        <v>0</v>
      </c>
      <c r="F96" s="12">
        <f t="shared" si="33"/>
        <v>0</v>
      </c>
      <c r="G96" s="12">
        <f t="shared" si="34"/>
        <v>0</v>
      </c>
      <c r="H96" s="12">
        <f t="shared" si="35"/>
        <v>0</v>
      </c>
      <c r="I96" s="13">
        <f t="shared" si="36"/>
        <v>0</v>
      </c>
      <c r="J96" s="12">
        <f t="shared" si="37"/>
        <v>0</v>
      </c>
      <c r="K96" s="13">
        <f t="shared" si="38"/>
        <v>0</v>
      </c>
      <c r="L96" s="12">
        <f t="shared" si="39"/>
        <v>0</v>
      </c>
      <c r="M96" s="13">
        <f t="shared" si="40"/>
        <v>0</v>
      </c>
      <c r="N96" s="12">
        <f t="shared" si="41"/>
        <v>0</v>
      </c>
      <c r="O96" s="13">
        <f t="shared" si="42"/>
        <v>0</v>
      </c>
      <c r="P96" s="13">
        <f t="shared" si="43"/>
        <v>0</v>
      </c>
      <c r="Q96" s="13">
        <f t="shared" si="44"/>
        <v>0</v>
      </c>
      <c r="R96" s="12">
        <f t="shared" si="45"/>
        <v>0</v>
      </c>
      <c r="S96" s="12">
        <f t="shared" si="46"/>
        <v>0</v>
      </c>
      <c r="T96" s="12">
        <f t="shared" si="47"/>
        <v>0</v>
      </c>
      <c r="U96" s="12">
        <f t="shared" si="48"/>
        <v>0</v>
      </c>
      <c r="V96" s="13">
        <f t="shared" si="49"/>
        <v>0</v>
      </c>
      <c r="W96" s="12">
        <f t="shared" si="50"/>
        <v>0</v>
      </c>
      <c r="X96" s="12">
        <f t="shared" si="29"/>
        <v>0</v>
      </c>
      <c r="Y96" s="12">
        <f t="shared" si="51"/>
        <v>0</v>
      </c>
      <c r="Z96" s="12">
        <f t="shared" si="52"/>
        <v>0</v>
      </c>
      <c r="AA96" s="14">
        <f t="shared" si="53"/>
        <v>0</v>
      </c>
      <c r="AB96" s="12">
        <f t="shared" si="54"/>
        <v>0</v>
      </c>
      <c r="AC96" s="15" t="b">
        <f>IF(OR(A96="",B96=""),FALSE,SubscribeQuotes(A96,B96))</f>
        <v>0</v>
      </c>
      <c r="AD96" s="13">
        <f t="shared" si="55"/>
        <v>0</v>
      </c>
    </row>
    <row r="97" spans="1:30">
      <c r="A97" s="9"/>
      <c r="B97" s="9"/>
      <c r="C97" s="10" t="str">
        <f t="shared" si="30"/>
        <v/>
      </c>
      <c r="D97" s="12">
        <f t="shared" si="31"/>
        <v>0</v>
      </c>
      <c r="E97" s="13">
        <f t="shared" si="32"/>
        <v>0</v>
      </c>
      <c r="F97" s="12">
        <f t="shared" si="33"/>
        <v>0</v>
      </c>
      <c r="G97" s="12">
        <f t="shared" si="34"/>
        <v>0</v>
      </c>
      <c r="H97" s="12">
        <f t="shared" si="35"/>
        <v>0</v>
      </c>
      <c r="I97" s="13">
        <f t="shared" si="36"/>
        <v>0</v>
      </c>
      <c r="J97" s="12">
        <f t="shared" si="37"/>
        <v>0</v>
      </c>
      <c r="K97" s="13">
        <f t="shared" si="38"/>
        <v>0</v>
      </c>
      <c r="L97" s="12">
        <f t="shared" si="39"/>
        <v>0</v>
      </c>
      <c r="M97" s="13">
        <f t="shared" si="40"/>
        <v>0</v>
      </c>
      <c r="N97" s="12">
        <f t="shared" si="41"/>
        <v>0</v>
      </c>
      <c r="O97" s="13">
        <f t="shared" si="42"/>
        <v>0</v>
      </c>
      <c r="P97" s="13">
        <f t="shared" si="43"/>
        <v>0</v>
      </c>
      <c r="Q97" s="13">
        <f t="shared" si="44"/>
        <v>0</v>
      </c>
      <c r="R97" s="12">
        <f t="shared" si="45"/>
        <v>0</v>
      </c>
      <c r="S97" s="12">
        <f t="shared" si="46"/>
        <v>0</v>
      </c>
      <c r="T97" s="12">
        <f t="shared" si="47"/>
        <v>0</v>
      </c>
      <c r="U97" s="12">
        <f t="shared" si="48"/>
        <v>0</v>
      </c>
      <c r="V97" s="13">
        <f t="shared" si="49"/>
        <v>0</v>
      </c>
      <c r="W97" s="12">
        <f t="shared" si="50"/>
        <v>0</v>
      </c>
      <c r="X97" s="12">
        <f t="shared" si="29"/>
        <v>0</v>
      </c>
      <c r="Y97" s="12">
        <f t="shared" si="51"/>
        <v>0</v>
      </c>
      <c r="Z97" s="12">
        <f t="shared" si="52"/>
        <v>0</v>
      </c>
      <c r="AA97" s="14">
        <f t="shared" si="53"/>
        <v>0</v>
      </c>
      <c r="AB97" s="12">
        <f t="shared" si="54"/>
        <v>0</v>
      </c>
      <c r="AC97" s="15" t="b">
        <f>IF(OR(A97="",B97=""),FALSE,SubscribeQuotes(A97,B97))</f>
        <v>0</v>
      </c>
      <c r="AD97" s="13">
        <f t="shared" si="55"/>
        <v>0</v>
      </c>
    </row>
    <row r="98" spans="1:30">
      <c r="A98" s="9"/>
      <c r="B98" s="9"/>
      <c r="C98" s="10" t="str">
        <f t="shared" si="30"/>
        <v/>
      </c>
      <c r="D98" s="12">
        <f t="shared" si="31"/>
        <v>0</v>
      </c>
      <c r="E98" s="13">
        <f t="shared" si="32"/>
        <v>0</v>
      </c>
      <c r="F98" s="12">
        <f t="shared" si="33"/>
        <v>0</v>
      </c>
      <c r="G98" s="12">
        <f t="shared" si="34"/>
        <v>0</v>
      </c>
      <c r="H98" s="12">
        <f t="shared" si="35"/>
        <v>0</v>
      </c>
      <c r="I98" s="13">
        <f t="shared" si="36"/>
        <v>0</v>
      </c>
      <c r="J98" s="12">
        <f t="shared" si="37"/>
        <v>0</v>
      </c>
      <c r="K98" s="13">
        <f t="shared" si="38"/>
        <v>0</v>
      </c>
      <c r="L98" s="12">
        <f t="shared" si="39"/>
        <v>0</v>
      </c>
      <c r="M98" s="13">
        <f t="shared" si="40"/>
        <v>0</v>
      </c>
      <c r="N98" s="12">
        <f t="shared" si="41"/>
        <v>0</v>
      </c>
      <c r="O98" s="13">
        <f t="shared" si="42"/>
        <v>0</v>
      </c>
      <c r="P98" s="13">
        <f t="shared" si="43"/>
        <v>0</v>
      </c>
      <c r="Q98" s="13">
        <f t="shared" si="44"/>
        <v>0</v>
      </c>
      <c r="R98" s="12">
        <f t="shared" si="45"/>
        <v>0</v>
      </c>
      <c r="S98" s="12">
        <f t="shared" si="46"/>
        <v>0</v>
      </c>
      <c r="T98" s="12">
        <f t="shared" si="47"/>
        <v>0</v>
      </c>
      <c r="U98" s="12">
        <f t="shared" si="48"/>
        <v>0</v>
      </c>
      <c r="V98" s="13">
        <f t="shared" si="49"/>
        <v>0</v>
      </c>
      <c r="W98" s="12">
        <f t="shared" si="50"/>
        <v>0</v>
      </c>
      <c r="X98" s="12">
        <f t="shared" ref="X98:X129" si="56">GetRTD(A98,B98,"UPPERCKT")</f>
        <v>0</v>
      </c>
      <c r="Y98" s="12">
        <f t="shared" si="51"/>
        <v>0</v>
      </c>
      <c r="Z98" s="12">
        <f t="shared" si="52"/>
        <v>0</v>
      </c>
      <c r="AA98" s="14">
        <f t="shared" si="53"/>
        <v>0</v>
      </c>
      <c r="AB98" s="12">
        <f t="shared" si="54"/>
        <v>0</v>
      </c>
      <c r="AC98" s="15" t="b">
        <f>IF(OR(A98="",B98=""),FALSE,SubscribeQuotes(A98,B98))</f>
        <v>0</v>
      </c>
      <c r="AD98" s="13">
        <f t="shared" si="55"/>
        <v>0</v>
      </c>
    </row>
    <row r="99" spans="1:30">
      <c r="A99" s="9"/>
      <c r="B99" s="9"/>
      <c r="C99" s="10" t="str">
        <f t="shared" si="30"/>
        <v/>
      </c>
      <c r="D99" s="12">
        <f t="shared" si="31"/>
        <v>0</v>
      </c>
      <c r="E99" s="13">
        <f t="shared" si="32"/>
        <v>0</v>
      </c>
      <c r="F99" s="12">
        <f t="shared" si="33"/>
        <v>0</v>
      </c>
      <c r="G99" s="12">
        <f t="shared" si="34"/>
        <v>0</v>
      </c>
      <c r="H99" s="12">
        <f t="shared" si="35"/>
        <v>0</v>
      </c>
      <c r="I99" s="13">
        <f t="shared" si="36"/>
        <v>0</v>
      </c>
      <c r="J99" s="12">
        <f t="shared" si="37"/>
        <v>0</v>
      </c>
      <c r="K99" s="13">
        <f t="shared" si="38"/>
        <v>0</v>
      </c>
      <c r="L99" s="12">
        <f t="shared" si="39"/>
        <v>0</v>
      </c>
      <c r="M99" s="13">
        <f t="shared" si="40"/>
        <v>0</v>
      </c>
      <c r="N99" s="12">
        <f t="shared" si="41"/>
        <v>0</v>
      </c>
      <c r="O99" s="13">
        <f t="shared" si="42"/>
        <v>0</v>
      </c>
      <c r="P99" s="13">
        <f t="shared" si="43"/>
        <v>0</v>
      </c>
      <c r="Q99" s="13">
        <f t="shared" si="44"/>
        <v>0</v>
      </c>
      <c r="R99" s="12">
        <f t="shared" si="45"/>
        <v>0</v>
      </c>
      <c r="S99" s="12">
        <f t="shared" si="46"/>
        <v>0</v>
      </c>
      <c r="T99" s="12">
        <f t="shared" si="47"/>
        <v>0</v>
      </c>
      <c r="U99" s="12">
        <f t="shared" si="48"/>
        <v>0</v>
      </c>
      <c r="V99" s="13">
        <f t="shared" si="49"/>
        <v>0</v>
      </c>
      <c r="W99" s="12">
        <f t="shared" si="50"/>
        <v>0</v>
      </c>
      <c r="X99" s="12">
        <f t="shared" si="56"/>
        <v>0</v>
      </c>
      <c r="Y99" s="12">
        <f t="shared" si="51"/>
        <v>0</v>
      </c>
      <c r="Z99" s="12">
        <f t="shared" si="52"/>
        <v>0</v>
      </c>
      <c r="AA99" s="14">
        <f t="shared" si="53"/>
        <v>0</v>
      </c>
      <c r="AB99" s="12">
        <f t="shared" si="54"/>
        <v>0</v>
      </c>
      <c r="AC99" s="15" t="b">
        <f>IF(OR(A99="",B99=""),FALSE,SubscribeQuotes(A99,B99))</f>
        <v>0</v>
      </c>
      <c r="AD99" s="13">
        <f t="shared" si="55"/>
        <v>0</v>
      </c>
    </row>
    <row r="100" spans="1:30">
      <c r="A100" s="9"/>
      <c r="B100" s="9"/>
      <c r="C100" s="10" t="str">
        <f t="shared" si="30"/>
        <v/>
      </c>
      <c r="D100" s="12">
        <f t="shared" si="31"/>
        <v>0</v>
      </c>
      <c r="E100" s="13">
        <f t="shared" si="32"/>
        <v>0</v>
      </c>
      <c r="F100" s="12">
        <f t="shared" si="33"/>
        <v>0</v>
      </c>
      <c r="G100" s="12">
        <f t="shared" si="34"/>
        <v>0</v>
      </c>
      <c r="H100" s="12">
        <f t="shared" si="35"/>
        <v>0</v>
      </c>
      <c r="I100" s="13">
        <f t="shared" si="36"/>
        <v>0</v>
      </c>
      <c r="J100" s="12">
        <f t="shared" si="37"/>
        <v>0</v>
      </c>
      <c r="K100" s="13">
        <f t="shared" si="38"/>
        <v>0</v>
      </c>
      <c r="L100" s="12">
        <f t="shared" si="39"/>
        <v>0</v>
      </c>
      <c r="M100" s="13">
        <f t="shared" si="40"/>
        <v>0</v>
      </c>
      <c r="N100" s="12">
        <f t="shared" si="41"/>
        <v>0</v>
      </c>
      <c r="O100" s="13">
        <f t="shared" si="42"/>
        <v>0</v>
      </c>
      <c r="P100" s="13">
        <f t="shared" si="43"/>
        <v>0</v>
      </c>
      <c r="Q100" s="13">
        <f t="shared" si="44"/>
        <v>0</v>
      </c>
      <c r="R100" s="12">
        <f t="shared" si="45"/>
        <v>0</v>
      </c>
      <c r="S100" s="12">
        <f t="shared" si="46"/>
        <v>0</v>
      </c>
      <c r="T100" s="12">
        <f t="shared" si="47"/>
        <v>0</v>
      </c>
      <c r="U100" s="12">
        <f t="shared" si="48"/>
        <v>0</v>
      </c>
      <c r="V100" s="13">
        <f t="shared" si="49"/>
        <v>0</v>
      </c>
      <c r="W100" s="12">
        <f t="shared" si="50"/>
        <v>0</v>
      </c>
      <c r="X100" s="12">
        <f t="shared" si="56"/>
        <v>0</v>
      </c>
      <c r="Y100" s="12">
        <f t="shared" si="51"/>
        <v>0</v>
      </c>
      <c r="Z100" s="12">
        <f t="shared" si="52"/>
        <v>0</v>
      </c>
      <c r="AA100" s="14">
        <f t="shared" si="53"/>
        <v>0</v>
      </c>
      <c r="AB100" s="12">
        <f t="shared" si="54"/>
        <v>0</v>
      </c>
      <c r="AC100" s="15" t="b">
        <f>IF(OR(A100="",B100=""),FALSE,SubscribeQuotes(A100,B100))</f>
        <v>0</v>
      </c>
      <c r="AD100" s="13">
        <f t="shared" si="55"/>
        <v>0</v>
      </c>
    </row>
    <row r="101" spans="1:30">
      <c r="A101" s="9"/>
      <c r="B101" s="9"/>
      <c r="C101" s="10" t="str">
        <f t="shared" si="30"/>
        <v/>
      </c>
      <c r="D101" s="12">
        <f t="shared" si="31"/>
        <v>0</v>
      </c>
      <c r="E101" s="13">
        <f t="shared" si="32"/>
        <v>0</v>
      </c>
      <c r="F101" s="12">
        <f t="shared" si="33"/>
        <v>0</v>
      </c>
      <c r="G101" s="12">
        <f t="shared" si="34"/>
        <v>0</v>
      </c>
      <c r="H101" s="12">
        <f t="shared" si="35"/>
        <v>0</v>
      </c>
      <c r="I101" s="13">
        <f t="shared" si="36"/>
        <v>0</v>
      </c>
      <c r="J101" s="12">
        <f t="shared" si="37"/>
        <v>0</v>
      </c>
      <c r="K101" s="13">
        <f t="shared" si="38"/>
        <v>0</v>
      </c>
      <c r="L101" s="12">
        <f t="shared" si="39"/>
        <v>0</v>
      </c>
      <c r="M101" s="13">
        <f t="shared" si="40"/>
        <v>0</v>
      </c>
      <c r="N101" s="12">
        <f t="shared" si="41"/>
        <v>0</v>
      </c>
      <c r="O101" s="13">
        <f t="shared" si="42"/>
        <v>0</v>
      </c>
      <c r="P101" s="13">
        <f t="shared" si="43"/>
        <v>0</v>
      </c>
      <c r="Q101" s="13">
        <f t="shared" si="44"/>
        <v>0</v>
      </c>
      <c r="R101" s="12">
        <f t="shared" si="45"/>
        <v>0</v>
      </c>
      <c r="S101" s="12">
        <f t="shared" si="46"/>
        <v>0</v>
      </c>
      <c r="T101" s="12">
        <f t="shared" si="47"/>
        <v>0</v>
      </c>
      <c r="U101" s="12">
        <f t="shared" si="48"/>
        <v>0</v>
      </c>
      <c r="V101" s="13">
        <f t="shared" si="49"/>
        <v>0</v>
      </c>
      <c r="W101" s="12">
        <f t="shared" si="50"/>
        <v>0</v>
      </c>
      <c r="X101" s="12">
        <f t="shared" si="56"/>
        <v>0</v>
      </c>
      <c r="Y101" s="12">
        <f t="shared" si="51"/>
        <v>0</v>
      </c>
      <c r="Z101" s="12">
        <f t="shared" si="52"/>
        <v>0</v>
      </c>
      <c r="AA101" s="14">
        <f t="shared" si="53"/>
        <v>0</v>
      </c>
      <c r="AB101" s="12">
        <f t="shared" si="54"/>
        <v>0</v>
      </c>
      <c r="AC101" s="15" t="b">
        <f>IF(OR(A101="",B101=""),FALSE,SubscribeQuotes(A101,B101))</f>
        <v>0</v>
      </c>
      <c r="AD101" s="13">
        <f t="shared" si="55"/>
        <v>0</v>
      </c>
    </row>
    <row r="102" spans="1:30">
      <c r="A102" s="9"/>
      <c r="B102" s="9"/>
      <c r="C102" s="10" t="str">
        <f t="shared" si="30"/>
        <v/>
      </c>
      <c r="D102" s="12">
        <f t="shared" si="31"/>
        <v>0</v>
      </c>
      <c r="E102" s="13">
        <f t="shared" si="32"/>
        <v>0</v>
      </c>
      <c r="F102" s="12">
        <f t="shared" si="33"/>
        <v>0</v>
      </c>
      <c r="G102" s="12">
        <f t="shared" si="34"/>
        <v>0</v>
      </c>
      <c r="H102" s="12">
        <f t="shared" si="35"/>
        <v>0</v>
      </c>
      <c r="I102" s="13">
        <f t="shared" si="36"/>
        <v>0</v>
      </c>
      <c r="J102" s="12">
        <f t="shared" si="37"/>
        <v>0</v>
      </c>
      <c r="K102" s="13">
        <f t="shared" si="38"/>
        <v>0</v>
      </c>
      <c r="L102" s="12">
        <f t="shared" si="39"/>
        <v>0</v>
      </c>
      <c r="M102" s="13">
        <f t="shared" si="40"/>
        <v>0</v>
      </c>
      <c r="N102" s="12">
        <f t="shared" si="41"/>
        <v>0</v>
      </c>
      <c r="O102" s="13">
        <f t="shared" si="42"/>
        <v>0</v>
      </c>
      <c r="P102" s="13">
        <f t="shared" si="43"/>
        <v>0</v>
      </c>
      <c r="Q102" s="13">
        <f t="shared" si="44"/>
        <v>0</v>
      </c>
      <c r="R102" s="12">
        <f t="shared" si="45"/>
        <v>0</v>
      </c>
      <c r="S102" s="12">
        <f t="shared" si="46"/>
        <v>0</v>
      </c>
      <c r="T102" s="12">
        <f t="shared" si="47"/>
        <v>0</v>
      </c>
      <c r="U102" s="12">
        <f t="shared" si="48"/>
        <v>0</v>
      </c>
      <c r="V102" s="13">
        <f t="shared" si="49"/>
        <v>0</v>
      </c>
      <c r="W102" s="12">
        <f t="shared" si="50"/>
        <v>0</v>
      </c>
      <c r="X102" s="12">
        <f t="shared" si="56"/>
        <v>0</v>
      </c>
      <c r="Y102" s="12">
        <f t="shared" si="51"/>
        <v>0</v>
      </c>
      <c r="Z102" s="12">
        <f t="shared" si="52"/>
        <v>0</v>
      </c>
      <c r="AA102" s="14">
        <f t="shared" si="53"/>
        <v>0</v>
      </c>
      <c r="AB102" s="12">
        <f t="shared" si="54"/>
        <v>0</v>
      </c>
      <c r="AC102" s="15" t="b">
        <f>IF(OR(A102="",B102=""),FALSE,SubscribeQuotes(A102,B102))</f>
        <v>0</v>
      </c>
      <c r="AD102" s="13">
        <f t="shared" si="55"/>
        <v>0</v>
      </c>
    </row>
    <row r="103" spans="1:30">
      <c r="A103" s="9"/>
      <c r="B103" s="9"/>
      <c r="C103" s="10" t="str">
        <f t="shared" si="30"/>
        <v/>
      </c>
      <c r="D103" s="12">
        <f t="shared" si="31"/>
        <v>0</v>
      </c>
      <c r="E103" s="13">
        <f t="shared" si="32"/>
        <v>0</v>
      </c>
      <c r="F103" s="12">
        <f t="shared" si="33"/>
        <v>0</v>
      </c>
      <c r="G103" s="12">
        <f t="shared" si="34"/>
        <v>0</v>
      </c>
      <c r="H103" s="12">
        <f t="shared" si="35"/>
        <v>0</v>
      </c>
      <c r="I103" s="13">
        <f t="shared" si="36"/>
        <v>0</v>
      </c>
      <c r="J103" s="12">
        <f t="shared" si="37"/>
        <v>0</v>
      </c>
      <c r="K103" s="13">
        <f t="shared" si="38"/>
        <v>0</v>
      </c>
      <c r="L103" s="12">
        <f t="shared" si="39"/>
        <v>0</v>
      </c>
      <c r="M103" s="13">
        <f t="shared" si="40"/>
        <v>0</v>
      </c>
      <c r="N103" s="12">
        <f t="shared" si="41"/>
        <v>0</v>
      </c>
      <c r="O103" s="13">
        <f t="shared" si="42"/>
        <v>0</v>
      </c>
      <c r="P103" s="13">
        <f t="shared" si="43"/>
        <v>0</v>
      </c>
      <c r="Q103" s="13">
        <f t="shared" si="44"/>
        <v>0</v>
      </c>
      <c r="R103" s="12">
        <f t="shared" si="45"/>
        <v>0</v>
      </c>
      <c r="S103" s="12">
        <f t="shared" si="46"/>
        <v>0</v>
      </c>
      <c r="T103" s="12">
        <f t="shared" si="47"/>
        <v>0</v>
      </c>
      <c r="U103" s="12">
        <f t="shared" si="48"/>
        <v>0</v>
      </c>
      <c r="V103" s="13">
        <f t="shared" si="49"/>
        <v>0</v>
      </c>
      <c r="W103" s="12">
        <f t="shared" si="50"/>
        <v>0</v>
      </c>
      <c r="X103" s="12">
        <f t="shared" si="56"/>
        <v>0</v>
      </c>
      <c r="Y103" s="12">
        <f t="shared" si="51"/>
        <v>0</v>
      </c>
      <c r="Z103" s="12">
        <f t="shared" si="52"/>
        <v>0</v>
      </c>
      <c r="AA103" s="14">
        <f t="shared" si="53"/>
        <v>0</v>
      </c>
      <c r="AB103" s="12">
        <f t="shared" si="54"/>
        <v>0</v>
      </c>
      <c r="AC103" s="15" t="b">
        <f>IF(OR(A103="",B103=""),FALSE,SubscribeQuotes(A103,B103))</f>
        <v>0</v>
      </c>
      <c r="AD103" s="13">
        <f t="shared" si="55"/>
        <v>0</v>
      </c>
    </row>
    <row r="104" spans="1:30">
      <c r="A104" s="9"/>
      <c r="B104" s="9"/>
      <c r="C104" s="10" t="str">
        <f t="shared" si="30"/>
        <v/>
      </c>
      <c r="D104" s="12">
        <f t="shared" si="31"/>
        <v>0</v>
      </c>
      <c r="E104" s="13">
        <f t="shared" si="32"/>
        <v>0</v>
      </c>
      <c r="F104" s="12">
        <f t="shared" si="33"/>
        <v>0</v>
      </c>
      <c r="G104" s="12">
        <f t="shared" si="34"/>
        <v>0</v>
      </c>
      <c r="H104" s="12">
        <f t="shared" si="35"/>
        <v>0</v>
      </c>
      <c r="I104" s="13">
        <f t="shared" si="36"/>
        <v>0</v>
      </c>
      <c r="J104" s="12">
        <f t="shared" si="37"/>
        <v>0</v>
      </c>
      <c r="K104" s="13">
        <f t="shared" si="38"/>
        <v>0</v>
      </c>
      <c r="L104" s="12">
        <f t="shared" si="39"/>
        <v>0</v>
      </c>
      <c r="M104" s="13">
        <f t="shared" si="40"/>
        <v>0</v>
      </c>
      <c r="N104" s="12">
        <f t="shared" si="41"/>
        <v>0</v>
      </c>
      <c r="O104" s="13">
        <f t="shared" si="42"/>
        <v>0</v>
      </c>
      <c r="P104" s="13">
        <f t="shared" si="43"/>
        <v>0</v>
      </c>
      <c r="Q104" s="13">
        <f t="shared" si="44"/>
        <v>0</v>
      </c>
      <c r="R104" s="12">
        <f t="shared" si="45"/>
        <v>0</v>
      </c>
      <c r="S104" s="12">
        <f t="shared" si="46"/>
        <v>0</v>
      </c>
      <c r="T104" s="12">
        <f t="shared" si="47"/>
        <v>0</v>
      </c>
      <c r="U104" s="12">
        <f t="shared" si="48"/>
        <v>0</v>
      </c>
      <c r="V104" s="13">
        <f t="shared" si="49"/>
        <v>0</v>
      </c>
      <c r="W104" s="12">
        <f t="shared" si="50"/>
        <v>0</v>
      </c>
      <c r="X104" s="12">
        <f t="shared" si="56"/>
        <v>0</v>
      </c>
      <c r="Y104" s="12">
        <f t="shared" si="51"/>
        <v>0</v>
      </c>
      <c r="Z104" s="12">
        <f t="shared" si="52"/>
        <v>0</v>
      </c>
      <c r="AA104" s="14">
        <f t="shared" si="53"/>
        <v>0</v>
      </c>
      <c r="AB104" s="12">
        <f t="shared" si="54"/>
        <v>0</v>
      </c>
      <c r="AC104" s="15" t="b">
        <f>IF(OR(A104="",B104=""),FALSE,SubscribeQuotes(A104,B104))</f>
        <v>0</v>
      </c>
      <c r="AD104" s="13">
        <f t="shared" si="55"/>
        <v>0</v>
      </c>
    </row>
    <row r="105" spans="1:30">
      <c r="A105" s="9"/>
      <c r="B105" s="9"/>
      <c r="C105" s="10" t="str">
        <f t="shared" si="30"/>
        <v/>
      </c>
      <c r="D105" s="12">
        <f t="shared" si="31"/>
        <v>0</v>
      </c>
      <c r="E105" s="13">
        <f t="shared" si="32"/>
        <v>0</v>
      </c>
      <c r="F105" s="12">
        <f t="shared" si="33"/>
        <v>0</v>
      </c>
      <c r="G105" s="12">
        <f t="shared" si="34"/>
        <v>0</v>
      </c>
      <c r="H105" s="12">
        <f t="shared" si="35"/>
        <v>0</v>
      </c>
      <c r="I105" s="13">
        <f t="shared" si="36"/>
        <v>0</v>
      </c>
      <c r="J105" s="12">
        <f t="shared" si="37"/>
        <v>0</v>
      </c>
      <c r="K105" s="13">
        <f t="shared" si="38"/>
        <v>0</v>
      </c>
      <c r="L105" s="12">
        <f t="shared" si="39"/>
        <v>0</v>
      </c>
      <c r="M105" s="13">
        <f t="shared" si="40"/>
        <v>0</v>
      </c>
      <c r="N105" s="12">
        <f t="shared" si="41"/>
        <v>0</v>
      </c>
      <c r="O105" s="13">
        <f t="shared" si="42"/>
        <v>0</v>
      </c>
      <c r="P105" s="13">
        <f t="shared" si="43"/>
        <v>0</v>
      </c>
      <c r="Q105" s="13">
        <f t="shared" si="44"/>
        <v>0</v>
      </c>
      <c r="R105" s="12">
        <f t="shared" si="45"/>
        <v>0</v>
      </c>
      <c r="S105" s="12">
        <f t="shared" si="46"/>
        <v>0</v>
      </c>
      <c r="T105" s="12">
        <f t="shared" si="47"/>
        <v>0</v>
      </c>
      <c r="U105" s="12">
        <f t="shared" si="48"/>
        <v>0</v>
      </c>
      <c r="V105" s="13">
        <f t="shared" si="49"/>
        <v>0</v>
      </c>
      <c r="W105" s="12">
        <f t="shared" si="50"/>
        <v>0</v>
      </c>
      <c r="X105" s="12">
        <f t="shared" si="56"/>
        <v>0</v>
      </c>
      <c r="Y105" s="12">
        <f t="shared" si="51"/>
        <v>0</v>
      </c>
      <c r="Z105" s="12">
        <f t="shared" si="52"/>
        <v>0</v>
      </c>
      <c r="AA105" s="14">
        <f t="shared" si="53"/>
        <v>0</v>
      </c>
      <c r="AB105" s="12">
        <f t="shared" si="54"/>
        <v>0</v>
      </c>
      <c r="AC105" s="15" t="b">
        <f>IF(OR(A105="",B105=""),FALSE,SubscribeQuotes(A105,B105))</f>
        <v>0</v>
      </c>
      <c r="AD105" s="13">
        <f t="shared" si="55"/>
        <v>0</v>
      </c>
    </row>
    <row r="106" spans="1:30">
      <c r="A106" s="9"/>
      <c r="B106" s="9"/>
      <c r="C106" s="10" t="str">
        <f t="shared" si="30"/>
        <v/>
      </c>
      <c r="D106" s="12">
        <f t="shared" si="31"/>
        <v>0</v>
      </c>
      <c r="E106" s="13">
        <f t="shared" si="32"/>
        <v>0</v>
      </c>
      <c r="F106" s="12">
        <f t="shared" si="33"/>
        <v>0</v>
      </c>
      <c r="G106" s="12">
        <f t="shared" si="34"/>
        <v>0</v>
      </c>
      <c r="H106" s="12">
        <f t="shared" si="35"/>
        <v>0</v>
      </c>
      <c r="I106" s="13">
        <f t="shared" si="36"/>
        <v>0</v>
      </c>
      <c r="J106" s="12">
        <f t="shared" si="37"/>
        <v>0</v>
      </c>
      <c r="K106" s="13">
        <f t="shared" si="38"/>
        <v>0</v>
      </c>
      <c r="L106" s="12">
        <f t="shared" si="39"/>
        <v>0</v>
      </c>
      <c r="M106" s="13">
        <f t="shared" si="40"/>
        <v>0</v>
      </c>
      <c r="N106" s="12">
        <f t="shared" si="41"/>
        <v>0</v>
      </c>
      <c r="O106" s="13">
        <f t="shared" si="42"/>
        <v>0</v>
      </c>
      <c r="P106" s="13">
        <f t="shared" si="43"/>
        <v>0</v>
      </c>
      <c r="Q106" s="13">
        <f t="shared" si="44"/>
        <v>0</v>
      </c>
      <c r="R106" s="12">
        <f t="shared" si="45"/>
        <v>0</v>
      </c>
      <c r="S106" s="12">
        <f t="shared" si="46"/>
        <v>0</v>
      </c>
      <c r="T106" s="12">
        <f t="shared" si="47"/>
        <v>0</v>
      </c>
      <c r="U106" s="12">
        <f t="shared" si="48"/>
        <v>0</v>
      </c>
      <c r="V106" s="13">
        <f t="shared" si="49"/>
        <v>0</v>
      </c>
      <c r="W106" s="12">
        <f t="shared" si="50"/>
        <v>0</v>
      </c>
      <c r="X106" s="12">
        <f t="shared" si="56"/>
        <v>0</v>
      </c>
      <c r="Y106" s="12">
        <f t="shared" si="51"/>
        <v>0</v>
      </c>
      <c r="Z106" s="12">
        <f t="shared" si="52"/>
        <v>0</v>
      </c>
      <c r="AA106" s="14">
        <f t="shared" si="53"/>
        <v>0</v>
      </c>
      <c r="AB106" s="12">
        <f t="shared" si="54"/>
        <v>0</v>
      </c>
      <c r="AC106" s="15" t="b">
        <f>IF(OR(A106="",B106=""),FALSE,SubscribeQuotes(A106,B106))</f>
        <v>0</v>
      </c>
      <c r="AD106" s="13">
        <f t="shared" si="55"/>
        <v>0</v>
      </c>
    </row>
    <row r="107" spans="1:30">
      <c r="A107" s="9"/>
      <c r="B107" s="9"/>
      <c r="C107" s="10" t="str">
        <f t="shared" si="30"/>
        <v/>
      </c>
      <c r="D107" s="12">
        <f t="shared" si="31"/>
        <v>0</v>
      </c>
      <c r="E107" s="13">
        <f t="shared" si="32"/>
        <v>0</v>
      </c>
      <c r="F107" s="12">
        <f t="shared" si="33"/>
        <v>0</v>
      </c>
      <c r="G107" s="12">
        <f t="shared" si="34"/>
        <v>0</v>
      </c>
      <c r="H107" s="12">
        <f t="shared" si="35"/>
        <v>0</v>
      </c>
      <c r="I107" s="13">
        <f t="shared" si="36"/>
        <v>0</v>
      </c>
      <c r="J107" s="12">
        <f t="shared" si="37"/>
        <v>0</v>
      </c>
      <c r="K107" s="13">
        <f t="shared" si="38"/>
        <v>0</v>
      </c>
      <c r="L107" s="12">
        <f t="shared" si="39"/>
        <v>0</v>
      </c>
      <c r="M107" s="13">
        <f t="shared" si="40"/>
        <v>0</v>
      </c>
      <c r="N107" s="12">
        <f t="shared" si="41"/>
        <v>0</v>
      </c>
      <c r="O107" s="13">
        <f t="shared" si="42"/>
        <v>0</v>
      </c>
      <c r="P107" s="13">
        <f t="shared" si="43"/>
        <v>0</v>
      </c>
      <c r="Q107" s="13">
        <f t="shared" si="44"/>
        <v>0</v>
      </c>
      <c r="R107" s="12">
        <f t="shared" si="45"/>
        <v>0</v>
      </c>
      <c r="S107" s="12">
        <f t="shared" si="46"/>
        <v>0</v>
      </c>
      <c r="T107" s="12">
        <f t="shared" si="47"/>
        <v>0</v>
      </c>
      <c r="U107" s="12">
        <f t="shared" si="48"/>
        <v>0</v>
      </c>
      <c r="V107" s="13">
        <f t="shared" si="49"/>
        <v>0</v>
      </c>
      <c r="W107" s="12">
        <f t="shared" si="50"/>
        <v>0</v>
      </c>
      <c r="X107" s="12">
        <f t="shared" si="56"/>
        <v>0</v>
      </c>
      <c r="Y107" s="12">
        <f t="shared" si="51"/>
        <v>0</v>
      </c>
      <c r="Z107" s="12">
        <f t="shared" si="52"/>
        <v>0</v>
      </c>
      <c r="AA107" s="14">
        <f t="shared" si="53"/>
        <v>0</v>
      </c>
      <c r="AB107" s="12">
        <f t="shared" si="54"/>
        <v>0</v>
      </c>
      <c r="AC107" s="15" t="b">
        <f>IF(OR(A107="",B107=""),FALSE,SubscribeQuotes(A107,B107))</f>
        <v>0</v>
      </c>
      <c r="AD107" s="13">
        <f t="shared" si="55"/>
        <v>0</v>
      </c>
    </row>
    <row r="108" spans="1:30">
      <c r="A108" s="9"/>
      <c r="B108" s="9"/>
      <c r="C108" s="10" t="str">
        <f t="shared" si="30"/>
        <v/>
      </c>
      <c r="D108" s="12">
        <f t="shared" si="31"/>
        <v>0</v>
      </c>
      <c r="E108" s="13">
        <f t="shared" si="32"/>
        <v>0</v>
      </c>
      <c r="F108" s="12">
        <f t="shared" si="33"/>
        <v>0</v>
      </c>
      <c r="G108" s="12">
        <f t="shared" si="34"/>
        <v>0</v>
      </c>
      <c r="H108" s="12">
        <f t="shared" si="35"/>
        <v>0</v>
      </c>
      <c r="I108" s="13">
        <f t="shared" si="36"/>
        <v>0</v>
      </c>
      <c r="J108" s="12">
        <f t="shared" si="37"/>
        <v>0</v>
      </c>
      <c r="K108" s="13">
        <f t="shared" si="38"/>
        <v>0</v>
      </c>
      <c r="L108" s="12">
        <f t="shared" si="39"/>
        <v>0</v>
      </c>
      <c r="M108" s="13">
        <f t="shared" si="40"/>
        <v>0</v>
      </c>
      <c r="N108" s="12">
        <f t="shared" si="41"/>
        <v>0</v>
      </c>
      <c r="O108" s="13">
        <f t="shared" si="42"/>
        <v>0</v>
      </c>
      <c r="P108" s="13">
        <f t="shared" si="43"/>
        <v>0</v>
      </c>
      <c r="Q108" s="13">
        <f t="shared" si="44"/>
        <v>0</v>
      </c>
      <c r="R108" s="12">
        <f t="shared" si="45"/>
        <v>0</v>
      </c>
      <c r="S108" s="12">
        <f t="shared" si="46"/>
        <v>0</v>
      </c>
      <c r="T108" s="12">
        <f t="shared" si="47"/>
        <v>0</v>
      </c>
      <c r="U108" s="12">
        <f t="shared" si="48"/>
        <v>0</v>
      </c>
      <c r="V108" s="13">
        <f t="shared" si="49"/>
        <v>0</v>
      </c>
      <c r="W108" s="12">
        <f t="shared" si="50"/>
        <v>0</v>
      </c>
      <c r="X108" s="12">
        <f t="shared" si="56"/>
        <v>0</v>
      </c>
      <c r="Y108" s="12">
        <f t="shared" si="51"/>
        <v>0</v>
      </c>
      <c r="Z108" s="12">
        <f t="shared" si="52"/>
        <v>0</v>
      </c>
      <c r="AA108" s="14">
        <f t="shared" si="53"/>
        <v>0</v>
      </c>
      <c r="AB108" s="12">
        <f t="shared" si="54"/>
        <v>0</v>
      </c>
      <c r="AC108" s="15" t="b">
        <f>IF(OR(A108="",B108=""),FALSE,SubscribeQuotes(A108,B108))</f>
        <v>0</v>
      </c>
      <c r="AD108" s="13">
        <f t="shared" si="55"/>
        <v>0</v>
      </c>
    </row>
    <row r="109" spans="1:30">
      <c r="A109" s="9"/>
      <c r="B109" s="9"/>
      <c r="C109" s="10" t="str">
        <f t="shared" si="30"/>
        <v/>
      </c>
      <c r="D109" s="12">
        <f t="shared" si="31"/>
        <v>0</v>
      </c>
      <c r="E109" s="13">
        <f t="shared" si="32"/>
        <v>0</v>
      </c>
      <c r="F109" s="12">
        <f t="shared" si="33"/>
        <v>0</v>
      </c>
      <c r="G109" s="12">
        <f t="shared" si="34"/>
        <v>0</v>
      </c>
      <c r="H109" s="12">
        <f t="shared" si="35"/>
        <v>0</v>
      </c>
      <c r="I109" s="13">
        <f t="shared" si="36"/>
        <v>0</v>
      </c>
      <c r="J109" s="12">
        <f t="shared" si="37"/>
        <v>0</v>
      </c>
      <c r="K109" s="13">
        <f t="shared" si="38"/>
        <v>0</v>
      </c>
      <c r="L109" s="12">
        <f t="shared" si="39"/>
        <v>0</v>
      </c>
      <c r="M109" s="13">
        <f t="shared" si="40"/>
        <v>0</v>
      </c>
      <c r="N109" s="12">
        <f t="shared" si="41"/>
        <v>0</v>
      </c>
      <c r="O109" s="13">
        <f t="shared" si="42"/>
        <v>0</v>
      </c>
      <c r="P109" s="13">
        <f t="shared" si="43"/>
        <v>0</v>
      </c>
      <c r="Q109" s="13">
        <f t="shared" si="44"/>
        <v>0</v>
      </c>
      <c r="R109" s="12">
        <f t="shared" si="45"/>
        <v>0</v>
      </c>
      <c r="S109" s="12">
        <f t="shared" si="46"/>
        <v>0</v>
      </c>
      <c r="T109" s="12">
        <f t="shared" si="47"/>
        <v>0</v>
      </c>
      <c r="U109" s="12">
        <f t="shared" si="48"/>
        <v>0</v>
      </c>
      <c r="V109" s="13">
        <f t="shared" si="49"/>
        <v>0</v>
      </c>
      <c r="W109" s="12">
        <f t="shared" si="50"/>
        <v>0</v>
      </c>
      <c r="X109" s="12">
        <f t="shared" si="56"/>
        <v>0</v>
      </c>
      <c r="Y109" s="12">
        <f t="shared" si="51"/>
        <v>0</v>
      </c>
      <c r="Z109" s="12">
        <f t="shared" si="52"/>
        <v>0</v>
      </c>
      <c r="AA109" s="14">
        <f t="shared" si="53"/>
        <v>0</v>
      </c>
      <c r="AB109" s="12">
        <f t="shared" si="54"/>
        <v>0</v>
      </c>
      <c r="AC109" s="15" t="b">
        <f>IF(OR(A109="",B109=""),FALSE,SubscribeQuotes(A109,B109))</f>
        <v>0</v>
      </c>
      <c r="AD109" s="13">
        <f t="shared" si="55"/>
        <v>0</v>
      </c>
    </row>
    <row r="110" spans="1:30">
      <c r="A110" s="9"/>
      <c r="B110" s="9"/>
      <c r="C110" s="10" t="str">
        <f t="shared" si="30"/>
        <v/>
      </c>
      <c r="D110" s="12">
        <f t="shared" si="31"/>
        <v>0</v>
      </c>
      <c r="E110" s="13">
        <f t="shared" si="32"/>
        <v>0</v>
      </c>
      <c r="F110" s="12">
        <f t="shared" si="33"/>
        <v>0</v>
      </c>
      <c r="G110" s="12">
        <f t="shared" si="34"/>
        <v>0</v>
      </c>
      <c r="H110" s="12">
        <f t="shared" si="35"/>
        <v>0</v>
      </c>
      <c r="I110" s="13">
        <f t="shared" si="36"/>
        <v>0</v>
      </c>
      <c r="J110" s="12">
        <f t="shared" si="37"/>
        <v>0</v>
      </c>
      <c r="K110" s="13">
        <f t="shared" si="38"/>
        <v>0</v>
      </c>
      <c r="L110" s="12">
        <f t="shared" si="39"/>
        <v>0</v>
      </c>
      <c r="M110" s="13">
        <f t="shared" si="40"/>
        <v>0</v>
      </c>
      <c r="N110" s="12">
        <f t="shared" si="41"/>
        <v>0</v>
      </c>
      <c r="O110" s="13">
        <f t="shared" si="42"/>
        <v>0</v>
      </c>
      <c r="P110" s="13">
        <f t="shared" si="43"/>
        <v>0</v>
      </c>
      <c r="Q110" s="13">
        <f t="shared" si="44"/>
        <v>0</v>
      </c>
      <c r="R110" s="12">
        <f t="shared" si="45"/>
        <v>0</v>
      </c>
      <c r="S110" s="12">
        <f t="shared" si="46"/>
        <v>0</v>
      </c>
      <c r="T110" s="12">
        <f t="shared" si="47"/>
        <v>0</v>
      </c>
      <c r="U110" s="12">
        <f t="shared" si="48"/>
        <v>0</v>
      </c>
      <c r="V110" s="13">
        <f t="shared" si="49"/>
        <v>0</v>
      </c>
      <c r="W110" s="12">
        <f t="shared" si="50"/>
        <v>0</v>
      </c>
      <c r="X110" s="12">
        <f t="shared" si="56"/>
        <v>0</v>
      </c>
      <c r="Y110" s="12">
        <f t="shared" si="51"/>
        <v>0</v>
      </c>
      <c r="Z110" s="12">
        <f t="shared" si="52"/>
        <v>0</v>
      </c>
      <c r="AA110" s="14">
        <f t="shared" si="53"/>
        <v>0</v>
      </c>
      <c r="AB110" s="12">
        <f t="shared" si="54"/>
        <v>0</v>
      </c>
      <c r="AC110" s="15" t="b">
        <f>IF(OR(A110="",B110=""),FALSE,SubscribeQuotes(A110,B110))</f>
        <v>0</v>
      </c>
      <c r="AD110" s="13">
        <f t="shared" si="55"/>
        <v>0</v>
      </c>
    </row>
    <row r="111" spans="1:30">
      <c r="A111" s="9"/>
      <c r="B111" s="9"/>
      <c r="C111" s="10" t="str">
        <f t="shared" si="30"/>
        <v/>
      </c>
      <c r="D111" s="12">
        <f t="shared" si="31"/>
        <v>0</v>
      </c>
      <c r="E111" s="13">
        <f t="shared" si="32"/>
        <v>0</v>
      </c>
      <c r="F111" s="12">
        <f t="shared" si="33"/>
        <v>0</v>
      </c>
      <c r="G111" s="12">
        <f t="shared" si="34"/>
        <v>0</v>
      </c>
      <c r="H111" s="12">
        <f t="shared" si="35"/>
        <v>0</v>
      </c>
      <c r="I111" s="13">
        <f t="shared" si="36"/>
        <v>0</v>
      </c>
      <c r="J111" s="12">
        <f t="shared" si="37"/>
        <v>0</v>
      </c>
      <c r="K111" s="13">
        <f t="shared" si="38"/>
        <v>0</v>
      </c>
      <c r="L111" s="12">
        <f t="shared" si="39"/>
        <v>0</v>
      </c>
      <c r="M111" s="13">
        <f t="shared" si="40"/>
        <v>0</v>
      </c>
      <c r="N111" s="12">
        <f t="shared" si="41"/>
        <v>0</v>
      </c>
      <c r="O111" s="13">
        <f t="shared" si="42"/>
        <v>0</v>
      </c>
      <c r="P111" s="13">
        <f t="shared" si="43"/>
        <v>0</v>
      </c>
      <c r="Q111" s="13">
        <f t="shared" si="44"/>
        <v>0</v>
      </c>
      <c r="R111" s="12">
        <f t="shared" si="45"/>
        <v>0</v>
      </c>
      <c r="S111" s="12">
        <f t="shared" si="46"/>
        <v>0</v>
      </c>
      <c r="T111" s="12">
        <f t="shared" si="47"/>
        <v>0</v>
      </c>
      <c r="U111" s="12">
        <f t="shared" si="48"/>
        <v>0</v>
      </c>
      <c r="V111" s="13">
        <f t="shared" si="49"/>
        <v>0</v>
      </c>
      <c r="W111" s="12">
        <f t="shared" si="50"/>
        <v>0</v>
      </c>
      <c r="X111" s="12">
        <f t="shared" si="56"/>
        <v>0</v>
      </c>
      <c r="Y111" s="12">
        <f t="shared" si="51"/>
        <v>0</v>
      </c>
      <c r="Z111" s="12">
        <f t="shared" si="52"/>
        <v>0</v>
      </c>
      <c r="AA111" s="14">
        <f t="shared" si="53"/>
        <v>0</v>
      </c>
      <c r="AB111" s="12">
        <f t="shared" si="54"/>
        <v>0</v>
      </c>
      <c r="AC111" s="15" t="b">
        <f>IF(OR(A111="",B111=""),FALSE,SubscribeQuotes(A111,B111))</f>
        <v>0</v>
      </c>
      <c r="AD111" s="13">
        <f t="shared" si="55"/>
        <v>0</v>
      </c>
    </row>
    <row r="112" spans="1:30">
      <c r="A112" s="9"/>
      <c r="B112" s="9"/>
      <c r="C112" s="10" t="str">
        <f t="shared" si="30"/>
        <v/>
      </c>
      <c r="D112" s="12">
        <f t="shared" si="31"/>
        <v>0</v>
      </c>
      <c r="E112" s="13">
        <f t="shared" si="32"/>
        <v>0</v>
      </c>
      <c r="F112" s="12">
        <f t="shared" si="33"/>
        <v>0</v>
      </c>
      <c r="G112" s="12">
        <f t="shared" si="34"/>
        <v>0</v>
      </c>
      <c r="H112" s="12">
        <f t="shared" si="35"/>
        <v>0</v>
      </c>
      <c r="I112" s="13">
        <f t="shared" si="36"/>
        <v>0</v>
      </c>
      <c r="J112" s="12">
        <f t="shared" si="37"/>
        <v>0</v>
      </c>
      <c r="K112" s="13">
        <f t="shared" si="38"/>
        <v>0</v>
      </c>
      <c r="L112" s="12">
        <f t="shared" si="39"/>
        <v>0</v>
      </c>
      <c r="M112" s="13">
        <f t="shared" si="40"/>
        <v>0</v>
      </c>
      <c r="N112" s="12">
        <f t="shared" si="41"/>
        <v>0</v>
      </c>
      <c r="O112" s="13">
        <f t="shared" si="42"/>
        <v>0</v>
      </c>
      <c r="P112" s="13">
        <f t="shared" si="43"/>
        <v>0</v>
      </c>
      <c r="Q112" s="13">
        <f t="shared" si="44"/>
        <v>0</v>
      </c>
      <c r="R112" s="12">
        <f t="shared" si="45"/>
        <v>0</v>
      </c>
      <c r="S112" s="12">
        <f t="shared" si="46"/>
        <v>0</v>
      </c>
      <c r="T112" s="12">
        <f t="shared" si="47"/>
        <v>0</v>
      </c>
      <c r="U112" s="12">
        <f t="shared" si="48"/>
        <v>0</v>
      </c>
      <c r="V112" s="13">
        <f t="shared" si="49"/>
        <v>0</v>
      </c>
      <c r="W112" s="12">
        <f t="shared" si="50"/>
        <v>0</v>
      </c>
      <c r="X112" s="12">
        <f t="shared" si="56"/>
        <v>0</v>
      </c>
      <c r="Y112" s="12">
        <f t="shared" si="51"/>
        <v>0</v>
      </c>
      <c r="Z112" s="12">
        <f t="shared" si="52"/>
        <v>0</v>
      </c>
      <c r="AA112" s="14">
        <f t="shared" si="53"/>
        <v>0</v>
      </c>
      <c r="AB112" s="12">
        <f t="shared" si="54"/>
        <v>0</v>
      </c>
      <c r="AC112" s="15" t="b">
        <f>IF(OR(A112="",B112=""),FALSE,SubscribeQuotes(A112,B112))</f>
        <v>0</v>
      </c>
      <c r="AD112" s="13">
        <f t="shared" si="55"/>
        <v>0</v>
      </c>
    </row>
    <row r="113" spans="1:30">
      <c r="A113" s="9"/>
      <c r="B113" s="9"/>
      <c r="C113" s="10" t="str">
        <f t="shared" si="30"/>
        <v/>
      </c>
      <c r="D113" s="12">
        <f t="shared" si="31"/>
        <v>0</v>
      </c>
      <c r="E113" s="13">
        <f t="shared" si="32"/>
        <v>0</v>
      </c>
      <c r="F113" s="12">
        <f t="shared" si="33"/>
        <v>0</v>
      </c>
      <c r="G113" s="12">
        <f t="shared" si="34"/>
        <v>0</v>
      </c>
      <c r="H113" s="12">
        <f t="shared" si="35"/>
        <v>0</v>
      </c>
      <c r="I113" s="13">
        <f t="shared" si="36"/>
        <v>0</v>
      </c>
      <c r="J113" s="12">
        <f t="shared" si="37"/>
        <v>0</v>
      </c>
      <c r="K113" s="13">
        <f t="shared" si="38"/>
        <v>0</v>
      </c>
      <c r="L113" s="12">
        <f t="shared" si="39"/>
        <v>0</v>
      </c>
      <c r="M113" s="13">
        <f t="shared" si="40"/>
        <v>0</v>
      </c>
      <c r="N113" s="12">
        <f t="shared" si="41"/>
        <v>0</v>
      </c>
      <c r="O113" s="13">
        <f t="shared" si="42"/>
        <v>0</v>
      </c>
      <c r="P113" s="13">
        <f t="shared" si="43"/>
        <v>0</v>
      </c>
      <c r="Q113" s="13">
        <f t="shared" si="44"/>
        <v>0</v>
      </c>
      <c r="R113" s="12">
        <f t="shared" si="45"/>
        <v>0</v>
      </c>
      <c r="S113" s="12">
        <f t="shared" si="46"/>
        <v>0</v>
      </c>
      <c r="T113" s="12">
        <f t="shared" si="47"/>
        <v>0</v>
      </c>
      <c r="U113" s="12">
        <f t="shared" si="48"/>
        <v>0</v>
      </c>
      <c r="V113" s="13">
        <f t="shared" si="49"/>
        <v>0</v>
      </c>
      <c r="W113" s="12">
        <f t="shared" si="50"/>
        <v>0</v>
      </c>
      <c r="X113" s="12">
        <f t="shared" si="56"/>
        <v>0</v>
      </c>
      <c r="Y113" s="12">
        <f t="shared" si="51"/>
        <v>0</v>
      </c>
      <c r="Z113" s="12">
        <f t="shared" si="52"/>
        <v>0</v>
      </c>
      <c r="AA113" s="14">
        <f t="shared" si="53"/>
        <v>0</v>
      </c>
      <c r="AB113" s="12">
        <f t="shared" si="54"/>
        <v>0</v>
      </c>
      <c r="AC113" s="15" t="b">
        <f>IF(OR(A113="",B113=""),FALSE,SubscribeQuotes(A113,B113))</f>
        <v>0</v>
      </c>
      <c r="AD113" s="13">
        <f t="shared" si="55"/>
        <v>0</v>
      </c>
    </row>
    <row r="114" spans="1:30">
      <c r="A114" s="9"/>
      <c r="B114" s="9"/>
      <c r="C114" s="10" t="str">
        <f t="shared" si="30"/>
        <v/>
      </c>
      <c r="D114" s="12">
        <f t="shared" si="31"/>
        <v>0</v>
      </c>
      <c r="E114" s="13">
        <f t="shared" si="32"/>
        <v>0</v>
      </c>
      <c r="F114" s="12">
        <f t="shared" si="33"/>
        <v>0</v>
      </c>
      <c r="G114" s="12">
        <f t="shared" si="34"/>
        <v>0</v>
      </c>
      <c r="H114" s="12">
        <f t="shared" si="35"/>
        <v>0</v>
      </c>
      <c r="I114" s="13">
        <f t="shared" si="36"/>
        <v>0</v>
      </c>
      <c r="J114" s="12">
        <f t="shared" si="37"/>
        <v>0</v>
      </c>
      <c r="K114" s="13">
        <f t="shared" si="38"/>
        <v>0</v>
      </c>
      <c r="L114" s="12">
        <f t="shared" si="39"/>
        <v>0</v>
      </c>
      <c r="M114" s="13">
        <f t="shared" si="40"/>
        <v>0</v>
      </c>
      <c r="N114" s="12">
        <f t="shared" si="41"/>
        <v>0</v>
      </c>
      <c r="O114" s="13">
        <f t="shared" si="42"/>
        <v>0</v>
      </c>
      <c r="P114" s="13">
        <f t="shared" si="43"/>
        <v>0</v>
      </c>
      <c r="Q114" s="13">
        <f t="shared" si="44"/>
        <v>0</v>
      </c>
      <c r="R114" s="12">
        <f t="shared" si="45"/>
        <v>0</v>
      </c>
      <c r="S114" s="12">
        <f t="shared" si="46"/>
        <v>0</v>
      </c>
      <c r="T114" s="12">
        <f t="shared" si="47"/>
        <v>0</v>
      </c>
      <c r="U114" s="12">
        <f t="shared" si="48"/>
        <v>0</v>
      </c>
      <c r="V114" s="13">
        <f t="shared" si="49"/>
        <v>0</v>
      </c>
      <c r="W114" s="12">
        <f t="shared" si="50"/>
        <v>0</v>
      </c>
      <c r="X114" s="12">
        <f t="shared" si="56"/>
        <v>0</v>
      </c>
      <c r="Y114" s="12">
        <f t="shared" si="51"/>
        <v>0</v>
      </c>
      <c r="Z114" s="12">
        <f t="shared" si="52"/>
        <v>0</v>
      </c>
      <c r="AA114" s="14">
        <f t="shared" si="53"/>
        <v>0</v>
      </c>
      <c r="AB114" s="12">
        <f t="shared" si="54"/>
        <v>0</v>
      </c>
      <c r="AC114" s="15" t="b">
        <f>IF(OR(A114="",B114=""),FALSE,SubscribeQuotes(A114,B114))</f>
        <v>0</v>
      </c>
      <c r="AD114" s="13">
        <f t="shared" si="55"/>
        <v>0</v>
      </c>
    </row>
    <row r="115" spans="1:30">
      <c r="A115" s="9"/>
      <c r="B115" s="9"/>
      <c r="C115" s="10" t="str">
        <f t="shared" si="30"/>
        <v/>
      </c>
      <c r="D115" s="12">
        <f t="shared" si="31"/>
        <v>0</v>
      </c>
      <c r="E115" s="13">
        <f t="shared" si="32"/>
        <v>0</v>
      </c>
      <c r="F115" s="12">
        <f t="shared" si="33"/>
        <v>0</v>
      </c>
      <c r="G115" s="12">
        <f t="shared" si="34"/>
        <v>0</v>
      </c>
      <c r="H115" s="12">
        <f t="shared" si="35"/>
        <v>0</v>
      </c>
      <c r="I115" s="13">
        <f t="shared" si="36"/>
        <v>0</v>
      </c>
      <c r="J115" s="12">
        <f t="shared" si="37"/>
        <v>0</v>
      </c>
      <c r="K115" s="13">
        <f t="shared" si="38"/>
        <v>0</v>
      </c>
      <c r="L115" s="12">
        <f t="shared" si="39"/>
        <v>0</v>
      </c>
      <c r="M115" s="13">
        <f t="shared" si="40"/>
        <v>0</v>
      </c>
      <c r="N115" s="12">
        <f t="shared" si="41"/>
        <v>0</v>
      </c>
      <c r="O115" s="13">
        <f t="shared" si="42"/>
        <v>0</v>
      </c>
      <c r="P115" s="13">
        <f t="shared" si="43"/>
        <v>0</v>
      </c>
      <c r="Q115" s="13">
        <f t="shared" si="44"/>
        <v>0</v>
      </c>
      <c r="R115" s="12">
        <f t="shared" si="45"/>
        <v>0</v>
      </c>
      <c r="S115" s="12">
        <f t="shared" si="46"/>
        <v>0</v>
      </c>
      <c r="T115" s="12">
        <f t="shared" si="47"/>
        <v>0</v>
      </c>
      <c r="U115" s="12">
        <f t="shared" si="48"/>
        <v>0</v>
      </c>
      <c r="V115" s="13">
        <f t="shared" si="49"/>
        <v>0</v>
      </c>
      <c r="W115" s="12">
        <f t="shared" si="50"/>
        <v>0</v>
      </c>
      <c r="X115" s="12">
        <f t="shared" si="56"/>
        <v>0</v>
      </c>
      <c r="Y115" s="12">
        <f t="shared" si="51"/>
        <v>0</v>
      </c>
      <c r="Z115" s="12">
        <f t="shared" si="52"/>
        <v>0</v>
      </c>
      <c r="AA115" s="14">
        <f t="shared" si="53"/>
        <v>0</v>
      </c>
      <c r="AB115" s="12">
        <f t="shared" si="54"/>
        <v>0</v>
      </c>
      <c r="AC115" s="15" t="b">
        <f>IF(OR(A115="",B115=""),FALSE,SubscribeQuotes(A115,B115))</f>
        <v>0</v>
      </c>
      <c r="AD115" s="13">
        <f t="shared" si="55"/>
        <v>0</v>
      </c>
    </row>
    <row r="116" spans="1:30">
      <c r="A116" s="9"/>
      <c r="B116" s="9"/>
      <c r="C116" s="10" t="str">
        <f t="shared" si="30"/>
        <v/>
      </c>
      <c r="D116" s="12">
        <f t="shared" si="31"/>
        <v>0</v>
      </c>
      <c r="E116" s="13">
        <f t="shared" si="32"/>
        <v>0</v>
      </c>
      <c r="F116" s="12">
        <f t="shared" si="33"/>
        <v>0</v>
      </c>
      <c r="G116" s="12">
        <f t="shared" si="34"/>
        <v>0</v>
      </c>
      <c r="H116" s="12">
        <f t="shared" si="35"/>
        <v>0</v>
      </c>
      <c r="I116" s="13">
        <f t="shared" si="36"/>
        <v>0</v>
      </c>
      <c r="J116" s="12">
        <f t="shared" si="37"/>
        <v>0</v>
      </c>
      <c r="K116" s="13">
        <f t="shared" si="38"/>
        <v>0</v>
      </c>
      <c r="L116" s="12">
        <f t="shared" si="39"/>
        <v>0</v>
      </c>
      <c r="M116" s="13">
        <f t="shared" si="40"/>
        <v>0</v>
      </c>
      <c r="N116" s="12">
        <f t="shared" si="41"/>
        <v>0</v>
      </c>
      <c r="O116" s="13">
        <f t="shared" si="42"/>
        <v>0</v>
      </c>
      <c r="P116" s="13">
        <f t="shared" si="43"/>
        <v>0</v>
      </c>
      <c r="Q116" s="13">
        <f t="shared" si="44"/>
        <v>0</v>
      </c>
      <c r="R116" s="12">
        <f t="shared" si="45"/>
        <v>0</v>
      </c>
      <c r="S116" s="12">
        <f t="shared" si="46"/>
        <v>0</v>
      </c>
      <c r="T116" s="12">
        <f t="shared" si="47"/>
        <v>0</v>
      </c>
      <c r="U116" s="12">
        <f t="shared" si="48"/>
        <v>0</v>
      </c>
      <c r="V116" s="13">
        <f t="shared" si="49"/>
        <v>0</v>
      </c>
      <c r="W116" s="12">
        <f t="shared" si="50"/>
        <v>0</v>
      </c>
      <c r="X116" s="12">
        <f t="shared" si="56"/>
        <v>0</v>
      </c>
      <c r="Y116" s="12">
        <f t="shared" si="51"/>
        <v>0</v>
      </c>
      <c r="Z116" s="12">
        <f t="shared" si="52"/>
        <v>0</v>
      </c>
      <c r="AA116" s="14">
        <f t="shared" si="53"/>
        <v>0</v>
      </c>
      <c r="AB116" s="12">
        <f t="shared" si="54"/>
        <v>0</v>
      </c>
      <c r="AC116" s="15" t="b">
        <f>IF(OR(A116="",B116=""),FALSE,SubscribeQuotes(A116,B116))</f>
        <v>0</v>
      </c>
      <c r="AD116" s="13">
        <f t="shared" si="55"/>
        <v>0</v>
      </c>
    </row>
    <row r="117" spans="1:30">
      <c r="A117" s="9"/>
      <c r="B117" s="9"/>
      <c r="C117" s="10" t="str">
        <f t="shared" si="30"/>
        <v/>
      </c>
      <c r="D117" s="12">
        <f t="shared" si="31"/>
        <v>0</v>
      </c>
      <c r="E117" s="13">
        <f t="shared" si="32"/>
        <v>0</v>
      </c>
      <c r="F117" s="12">
        <f t="shared" si="33"/>
        <v>0</v>
      </c>
      <c r="G117" s="12">
        <f t="shared" si="34"/>
        <v>0</v>
      </c>
      <c r="H117" s="12">
        <f t="shared" si="35"/>
        <v>0</v>
      </c>
      <c r="I117" s="13">
        <f t="shared" si="36"/>
        <v>0</v>
      </c>
      <c r="J117" s="12">
        <f t="shared" si="37"/>
        <v>0</v>
      </c>
      <c r="K117" s="13">
        <f t="shared" si="38"/>
        <v>0</v>
      </c>
      <c r="L117" s="12">
        <f t="shared" si="39"/>
        <v>0</v>
      </c>
      <c r="M117" s="13">
        <f t="shared" si="40"/>
        <v>0</v>
      </c>
      <c r="N117" s="12">
        <f t="shared" si="41"/>
        <v>0</v>
      </c>
      <c r="O117" s="13">
        <f t="shared" si="42"/>
        <v>0</v>
      </c>
      <c r="P117" s="13">
        <f t="shared" si="43"/>
        <v>0</v>
      </c>
      <c r="Q117" s="13">
        <f t="shared" si="44"/>
        <v>0</v>
      </c>
      <c r="R117" s="12">
        <f t="shared" si="45"/>
        <v>0</v>
      </c>
      <c r="S117" s="12">
        <f t="shared" si="46"/>
        <v>0</v>
      </c>
      <c r="T117" s="12">
        <f t="shared" si="47"/>
        <v>0</v>
      </c>
      <c r="U117" s="12">
        <f t="shared" si="48"/>
        <v>0</v>
      </c>
      <c r="V117" s="13">
        <f t="shared" si="49"/>
        <v>0</v>
      </c>
      <c r="W117" s="12">
        <f t="shared" si="50"/>
        <v>0</v>
      </c>
      <c r="X117" s="12">
        <f t="shared" si="56"/>
        <v>0</v>
      </c>
      <c r="Y117" s="12">
        <f t="shared" si="51"/>
        <v>0</v>
      </c>
      <c r="Z117" s="12">
        <f t="shared" si="52"/>
        <v>0</v>
      </c>
      <c r="AA117" s="14">
        <f t="shared" si="53"/>
        <v>0</v>
      </c>
      <c r="AB117" s="12">
        <f t="shared" si="54"/>
        <v>0</v>
      </c>
      <c r="AC117" s="15" t="b">
        <f>IF(OR(A117="",B117=""),FALSE,SubscribeQuotes(A117,B117))</f>
        <v>0</v>
      </c>
      <c r="AD117" s="13">
        <f t="shared" si="55"/>
        <v>0</v>
      </c>
    </row>
    <row r="118" spans="1:30">
      <c r="A118" s="9"/>
      <c r="B118" s="9"/>
      <c r="C118" s="10" t="str">
        <f t="shared" si="30"/>
        <v/>
      </c>
      <c r="D118" s="12">
        <f t="shared" si="31"/>
        <v>0</v>
      </c>
      <c r="E118" s="13">
        <f t="shared" si="32"/>
        <v>0</v>
      </c>
      <c r="F118" s="12">
        <f t="shared" si="33"/>
        <v>0</v>
      </c>
      <c r="G118" s="12">
        <f t="shared" si="34"/>
        <v>0</v>
      </c>
      <c r="H118" s="12">
        <f t="shared" si="35"/>
        <v>0</v>
      </c>
      <c r="I118" s="13">
        <f t="shared" si="36"/>
        <v>0</v>
      </c>
      <c r="J118" s="12">
        <f t="shared" si="37"/>
        <v>0</v>
      </c>
      <c r="K118" s="13">
        <f t="shared" si="38"/>
        <v>0</v>
      </c>
      <c r="L118" s="12">
        <f t="shared" si="39"/>
        <v>0</v>
      </c>
      <c r="M118" s="13">
        <f t="shared" si="40"/>
        <v>0</v>
      </c>
      <c r="N118" s="12">
        <f t="shared" si="41"/>
        <v>0</v>
      </c>
      <c r="O118" s="13">
        <f t="shared" si="42"/>
        <v>0</v>
      </c>
      <c r="P118" s="13">
        <f t="shared" si="43"/>
        <v>0</v>
      </c>
      <c r="Q118" s="13">
        <f t="shared" si="44"/>
        <v>0</v>
      </c>
      <c r="R118" s="12">
        <f t="shared" si="45"/>
        <v>0</v>
      </c>
      <c r="S118" s="12">
        <f t="shared" si="46"/>
        <v>0</v>
      </c>
      <c r="T118" s="12">
        <f t="shared" si="47"/>
        <v>0</v>
      </c>
      <c r="U118" s="12">
        <f t="shared" si="48"/>
        <v>0</v>
      </c>
      <c r="V118" s="13">
        <f t="shared" si="49"/>
        <v>0</v>
      </c>
      <c r="W118" s="12">
        <f t="shared" si="50"/>
        <v>0</v>
      </c>
      <c r="X118" s="12">
        <f t="shared" si="56"/>
        <v>0</v>
      </c>
      <c r="Y118" s="12">
        <f t="shared" si="51"/>
        <v>0</v>
      </c>
      <c r="Z118" s="12">
        <f t="shared" si="52"/>
        <v>0</v>
      </c>
      <c r="AA118" s="14">
        <f t="shared" si="53"/>
        <v>0</v>
      </c>
      <c r="AB118" s="12">
        <f t="shared" si="54"/>
        <v>0</v>
      </c>
      <c r="AC118" s="15" t="b">
        <f>IF(OR(A118="",B118=""),FALSE,SubscribeQuotes(A118,B118))</f>
        <v>0</v>
      </c>
      <c r="AD118" s="13">
        <f t="shared" si="55"/>
        <v>0</v>
      </c>
    </row>
    <row r="119" spans="1:30">
      <c r="A119" s="9"/>
      <c r="B119" s="9"/>
      <c r="C119" s="10" t="str">
        <f t="shared" si="30"/>
        <v/>
      </c>
      <c r="D119" s="12">
        <f t="shared" si="31"/>
        <v>0</v>
      </c>
      <c r="E119" s="13">
        <f t="shared" si="32"/>
        <v>0</v>
      </c>
      <c r="F119" s="12">
        <f t="shared" si="33"/>
        <v>0</v>
      </c>
      <c r="G119" s="12">
        <f t="shared" si="34"/>
        <v>0</v>
      </c>
      <c r="H119" s="12">
        <f t="shared" si="35"/>
        <v>0</v>
      </c>
      <c r="I119" s="13">
        <f t="shared" si="36"/>
        <v>0</v>
      </c>
      <c r="J119" s="12">
        <f t="shared" si="37"/>
        <v>0</v>
      </c>
      <c r="K119" s="13">
        <f t="shared" si="38"/>
        <v>0</v>
      </c>
      <c r="L119" s="12">
        <f t="shared" si="39"/>
        <v>0</v>
      </c>
      <c r="M119" s="13">
        <f t="shared" si="40"/>
        <v>0</v>
      </c>
      <c r="N119" s="12">
        <f t="shared" si="41"/>
        <v>0</v>
      </c>
      <c r="O119" s="13">
        <f t="shared" si="42"/>
        <v>0</v>
      </c>
      <c r="P119" s="13">
        <f t="shared" si="43"/>
        <v>0</v>
      </c>
      <c r="Q119" s="13">
        <f t="shared" si="44"/>
        <v>0</v>
      </c>
      <c r="R119" s="12">
        <f t="shared" si="45"/>
        <v>0</v>
      </c>
      <c r="S119" s="12">
        <f t="shared" si="46"/>
        <v>0</v>
      </c>
      <c r="T119" s="12">
        <f t="shared" si="47"/>
        <v>0</v>
      </c>
      <c r="U119" s="12">
        <f t="shared" si="48"/>
        <v>0</v>
      </c>
      <c r="V119" s="13">
        <f t="shared" si="49"/>
        <v>0</v>
      </c>
      <c r="W119" s="12">
        <f t="shared" si="50"/>
        <v>0</v>
      </c>
      <c r="X119" s="12">
        <f t="shared" si="56"/>
        <v>0</v>
      </c>
      <c r="Y119" s="12">
        <f t="shared" si="51"/>
        <v>0</v>
      </c>
      <c r="Z119" s="12">
        <f t="shared" si="52"/>
        <v>0</v>
      </c>
      <c r="AA119" s="14">
        <f t="shared" si="53"/>
        <v>0</v>
      </c>
      <c r="AB119" s="12">
        <f t="shared" si="54"/>
        <v>0</v>
      </c>
      <c r="AC119" s="15" t="b">
        <f>IF(OR(A119="",B119=""),FALSE,SubscribeQuotes(A119,B119))</f>
        <v>0</v>
      </c>
      <c r="AD119" s="13">
        <f t="shared" si="55"/>
        <v>0</v>
      </c>
    </row>
    <row r="120" spans="1:30">
      <c r="A120" s="9"/>
      <c r="B120" s="9"/>
      <c r="C120" s="10" t="str">
        <f t="shared" si="30"/>
        <v/>
      </c>
      <c r="D120" s="12">
        <f t="shared" si="31"/>
        <v>0</v>
      </c>
      <c r="E120" s="13">
        <f t="shared" si="32"/>
        <v>0</v>
      </c>
      <c r="F120" s="12">
        <f t="shared" si="33"/>
        <v>0</v>
      </c>
      <c r="G120" s="12">
        <f t="shared" si="34"/>
        <v>0</v>
      </c>
      <c r="H120" s="12">
        <f t="shared" si="35"/>
        <v>0</v>
      </c>
      <c r="I120" s="13">
        <f t="shared" si="36"/>
        <v>0</v>
      </c>
      <c r="J120" s="12">
        <f t="shared" si="37"/>
        <v>0</v>
      </c>
      <c r="K120" s="13">
        <f t="shared" si="38"/>
        <v>0</v>
      </c>
      <c r="L120" s="12">
        <f t="shared" si="39"/>
        <v>0</v>
      </c>
      <c r="M120" s="13">
        <f t="shared" si="40"/>
        <v>0</v>
      </c>
      <c r="N120" s="12">
        <f t="shared" si="41"/>
        <v>0</v>
      </c>
      <c r="O120" s="13">
        <f t="shared" si="42"/>
        <v>0</v>
      </c>
      <c r="P120" s="13">
        <f t="shared" si="43"/>
        <v>0</v>
      </c>
      <c r="Q120" s="13">
        <f t="shared" si="44"/>
        <v>0</v>
      </c>
      <c r="R120" s="12">
        <f t="shared" si="45"/>
        <v>0</v>
      </c>
      <c r="S120" s="12">
        <f t="shared" si="46"/>
        <v>0</v>
      </c>
      <c r="T120" s="12">
        <f t="shared" si="47"/>
        <v>0</v>
      </c>
      <c r="U120" s="12">
        <f t="shared" si="48"/>
        <v>0</v>
      </c>
      <c r="V120" s="13">
        <f t="shared" si="49"/>
        <v>0</v>
      </c>
      <c r="W120" s="12">
        <f t="shared" si="50"/>
        <v>0</v>
      </c>
      <c r="X120" s="12">
        <f t="shared" si="56"/>
        <v>0</v>
      </c>
      <c r="Y120" s="12">
        <f t="shared" si="51"/>
        <v>0</v>
      </c>
      <c r="Z120" s="12">
        <f t="shared" si="52"/>
        <v>0</v>
      </c>
      <c r="AA120" s="14">
        <f t="shared" si="53"/>
        <v>0</v>
      </c>
      <c r="AB120" s="12">
        <f t="shared" si="54"/>
        <v>0</v>
      </c>
      <c r="AC120" s="15" t="b">
        <f>IF(OR(A120="",B120=""),FALSE,SubscribeQuotes(A120,B120))</f>
        <v>0</v>
      </c>
      <c r="AD120" s="13">
        <f t="shared" si="55"/>
        <v>0</v>
      </c>
    </row>
    <row r="121" spans="1:30">
      <c r="A121" s="9"/>
      <c r="B121" s="9"/>
      <c r="C121" s="10" t="str">
        <f t="shared" si="30"/>
        <v/>
      </c>
      <c r="D121" s="12">
        <f t="shared" si="31"/>
        <v>0</v>
      </c>
      <c r="E121" s="13">
        <f t="shared" si="32"/>
        <v>0</v>
      </c>
      <c r="F121" s="12">
        <f t="shared" si="33"/>
        <v>0</v>
      </c>
      <c r="G121" s="12">
        <f t="shared" si="34"/>
        <v>0</v>
      </c>
      <c r="H121" s="12">
        <f t="shared" si="35"/>
        <v>0</v>
      </c>
      <c r="I121" s="13">
        <f t="shared" si="36"/>
        <v>0</v>
      </c>
      <c r="J121" s="12">
        <f t="shared" si="37"/>
        <v>0</v>
      </c>
      <c r="K121" s="13">
        <f t="shared" si="38"/>
        <v>0</v>
      </c>
      <c r="L121" s="12">
        <f t="shared" si="39"/>
        <v>0</v>
      </c>
      <c r="M121" s="13">
        <f t="shared" si="40"/>
        <v>0</v>
      </c>
      <c r="N121" s="12">
        <f t="shared" si="41"/>
        <v>0</v>
      </c>
      <c r="O121" s="13">
        <f t="shared" si="42"/>
        <v>0</v>
      </c>
      <c r="P121" s="13">
        <f t="shared" si="43"/>
        <v>0</v>
      </c>
      <c r="Q121" s="13">
        <f t="shared" si="44"/>
        <v>0</v>
      </c>
      <c r="R121" s="12">
        <f t="shared" si="45"/>
        <v>0</v>
      </c>
      <c r="S121" s="12">
        <f t="shared" si="46"/>
        <v>0</v>
      </c>
      <c r="T121" s="12">
        <f t="shared" si="47"/>
        <v>0</v>
      </c>
      <c r="U121" s="12">
        <f t="shared" si="48"/>
        <v>0</v>
      </c>
      <c r="V121" s="13">
        <f t="shared" si="49"/>
        <v>0</v>
      </c>
      <c r="W121" s="12">
        <f t="shared" si="50"/>
        <v>0</v>
      </c>
      <c r="X121" s="12">
        <f t="shared" si="56"/>
        <v>0</v>
      </c>
      <c r="Y121" s="12">
        <f t="shared" si="51"/>
        <v>0</v>
      </c>
      <c r="Z121" s="12">
        <f t="shared" si="52"/>
        <v>0</v>
      </c>
      <c r="AA121" s="14">
        <f t="shared" si="53"/>
        <v>0</v>
      </c>
      <c r="AB121" s="12">
        <f t="shared" si="54"/>
        <v>0</v>
      </c>
      <c r="AC121" s="15" t="b">
        <f>IF(OR(A121="",B121=""),FALSE,SubscribeQuotes(A121,B121))</f>
        <v>0</v>
      </c>
      <c r="AD121" s="13">
        <f t="shared" si="55"/>
        <v>0</v>
      </c>
    </row>
    <row r="122" spans="1:30">
      <c r="A122" s="9"/>
      <c r="B122" s="9"/>
      <c r="C122" s="10" t="str">
        <f t="shared" si="30"/>
        <v/>
      </c>
      <c r="D122" s="12">
        <f t="shared" si="31"/>
        <v>0</v>
      </c>
      <c r="E122" s="13">
        <f t="shared" si="32"/>
        <v>0</v>
      </c>
      <c r="F122" s="12">
        <f t="shared" si="33"/>
        <v>0</v>
      </c>
      <c r="G122" s="12">
        <f t="shared" si="34"/>
        <v>0</v>
      </c>
      <c r="H122" s="12">
        <f t="shared" si="35"/>
        <v>0</v>
      </c>
      <c r="I122" s="13">
        <f t="shared" si="36"/>
        <v>0</v>
      </c>
      <c r="J122" s="12">
        <f t="shared" si="37"/>
        <v>0</v>
      </c>
      <c r="K122" s="13">
        <f t="shared" si="38"/>
        <v>0</v>
      </c>
      <c r="L122" s="12">
        <f t="shared" si="39"/>
        <v>0</v>
      </c>
      <c r="M122" s="13">
        <f t="shared" si="40"/>
        <v>0</v>
      </c>
      <c r="N122" s="12">
        <f t="shared" si="41"/>
        <v>0</v>
      </c>
      <c r="O122" s="13">
        <f t="shared" si="42"/>
        <v>0</v>
      </c>
      <c r="P122" s="13">
        <f t="shared" si="43"/>
        <v>0</v>
      </c>
      <c r="Q122" s="13">
        <f t="shared" si="44"/>
        <v>0</v>
      </c>
      <c r="R122" s="12">
        <f t="shared" si="45"/>
        <v>0</v>
      </c>
      <c r="S122" s="12">
        <f t="shared" si="46"/>
        <v>0</v>
      </c>
      <c r="T122" s="12">
        <f t="shared" si="47"/>
        <v>0</v>
      </c>
      <c r="U122" s="12">
        <f t="shared" si="48"/>
        <v>0</v>
      </c>
      <c r="V122" s="13">
        <f t="shared" si="49"/>
        <v>0</v>
      </c>
      <c r="W122" s="12">
        <f t="shared" si="50"/>
        <v>0</v>
      </c>
      <c r="X122" s="12">
        <f t="shared" si="56"/>
        <v>0</v>
      </c>
      <c r="Y122" s="12">
        <f t="shared" si="51"/>
        <v>0</v>
      </c>
      <c r="Z122" s="12">
        <f t="shared" si="52"/>
        <v>0</v>
      </c>
      <c r="AA122" s="14">
        <f t="shared" si="53"/>
        <v>0</v>
      </c>
      <c r="AB122" s="12">
        <f t="shared" si="54"/>
        <v>0</v>
      </c>
      <c r="AC122" s="15" t="b">
        <f>IF(OR(A122="",B122=""),FALSE,SubscribeQuotes(A122,B122))</f>
        <v>0</v>
      </c>
      <c r="AD122" s="13">
        <f t="shared" si="55"/>
        <v>0</v>
      </c>
    </row>
    <row r="123" spans="1:30">
      <c r="A123" s="9"/>
      <c r="B123" s="9"/>
      <c r="C123" s="10" t="str">
        <f t="shared" si="30"/>
        <v/>
      </c>
      <c r="D123" s="12">
        <f t="shared" si="31"/>
        <v>0</v>
      </c>
      <c r="E123" s="13">
        <f t="shared" si="32"/>
        <v>0</v>
      </c>
      <c r="F123" s="12">
        <f t="shared" si="33"/>
        <v>0</v>
      </c>
      <c r="G123" s="12">
        <f t="shared" si="34"/>
        <v>0</v>
      </c>
      <c r="H123" s="12">
        <f t="shared" si="35"/>
        <v>0</v>
      </c>
      <c r="I123" s="13">
        <f t="shared" si="36"/>
        <v>0</v>
      </c>
      <c r="J123" s="12">
        <f t="shared" si="37"/>
        <v>0</v>
      </c>
      <c r="K123" s="13">
        <f t="shared" si="38"/>
        <v>0</v>
      </c>
      <c r="L123" s="12">
        <f t="shared" si="39"/>
        <v>0</v>
      </c>
      <c r="M123" s="13">
        <f t="shared" si="40"/>
        <v>0</v>
      </c>
      <c r="N123" s="12">
        <f t="shared" si="41"/>
        <v>0</v>
      </c>
      <c r="O123" s="13">
        <f t="shared" si="42"/>
        <v>0</v>
      </c>
      <c r="P123" s="13">
        <f t="shared" si="43"/>
        <v>0</v>
      </c>
      <c r="Q123" s="13">
        <f t="shared" si="44"/>
        <v>0</v>
      </c>
      <c r="R123" s="12">
        <f t="shared" si="45"/>
        <v>0</v>
      </c>
      <c r="S123" s="12">
        <f t="shared" si="46"/>
        <v>0</v>
      </c>
      <c r="T123" s="12">
        <f t="shared" si="47"/>
        <v>0</v>
      </c>
      <c r="U123" s="12">
        <f t="shared" si="48"/>
        <v>0</v>
      </c>
      <c r="V123" s="13">
        <f t="shared" si="49"/>
        <v>0</v>
      </c>
      <c r="W123" s="12">
        <f t="shared" si="50"/>
        <v>0</v>
      </c>
      <c r="X123" s="12">
        <f t="shared" si="56"/>
        <v>0</v>
      </c>
      <c r="Y123" s="12">
        <f t="shared" si="51"/>
        <v>0</v>
      </c>
      <c r="Z123" s="12">
        <f t="shared" si="52"/>
        <v>0</v>
      </c>
      <c r="AA123" s="14">
        <f t="shared" si="53"/>
        <v>0</v>
      </c>
      <c r="AB123" s="12">
        <f t="shared" si="54"/>
        <v>0</v>
      </c>
      <c r="AC123" s="15" t="b">
        <f>IF(OR(A123="",B123=""),FALSE,SubscribeQuotes(A123,B123))</f>
        <v>0</v>
      </c>
      <c r="AD123" s="13">
        <f t="shared" si="55"/>
        <v>0</v>
      </c>
    </row>
    <row r="124" spans="1:30">
      <c r="A124" s="9"/>
      <c r="B124" s="9"/>
      <c r="C124" s="10" t="str">
        <f t="shared" si="30"/>
        <v/>
      </c>
      <c r="D124" s="12">
        <f t="shared" si="31"/>
        <v>0</v>
      </c>
      <c r="E124" s="13">
        <f t="shared" si="32"/>
        <v>0</v>
      </c>
      <c r="F124" s="12">
        <f t="shared" si="33"/>
        <v>0</v>
      </c>
      <c r="G124" s="12">
        <f t="shared" si="34"/>
        <v>0</v>
      </c>
      <c r="H124" s="12">
        <f t="shared" si="35"/>
        <v>0</v>
      </c>
      <c r="I124" s="13">
        <f t="shared" si="36"/>
        <v>0</v>
      </c>
      <c r="J124" s="12">
        <f t="shared" si="37"/>
        <v>0</v>
      </c>
      <c r="K124" s="13">
        <f t="shared" si="38"/>
        <v>0</v>
      </c>
      <c r="L124" s="12">
        <f t="shared" si="39"/>
        <v>0</v>
      </c>
      <c r="M124" s="13">
        <f t="shared" si="40"/>
        <v>0</v>
      </c>
      <c r="N124" s="12">
        <f t="shared" si="41"/>
        <v>0</v>
      </c>
      <c r="O124" s="13">
        <f t="shared" si="42"/>
        <v>0</v>
      </c>
      <c r="P124" s="13">
        <f t="shared" si="43"/>
        <v>0</v>
      </c>
      <c r="Q124" s="13">
        <f t="shared" si="44"/>
        <v>0</v>
      </c>
      <c r="R124" s="12">
        <f t="shared" si="45"/>
        <v>0</v>
      </c>
      <c r="S124" s="12">
        <f t="shared" si="46"/>
        <v>0</v>
      </c>
      <c r="T124" s="12">
        <f t="shared" si="47"/>
        <v>0</v>
      </c>
      <c r="U124" s="12">
        <f t="shared" si="48"/>
        <v>0</v>
      </c>
      <c r="V124" s="13">
        <f t="shared" si="49"/>
        <v>0</v>
      </c>
      <c r="W124" s="12">
        <f t="shared" si="50"/>
        <v>0</v>
      </c>
      <c r="X124" s="12">
        <f t="shared" si="56"/>
        <v>0</v>
      </c>
      <c r="Y124" s="12">
        <f t="shared" si="51"/>
        <v>0</v>
      </c>
      <c r="Z124" s="12">
        <f t="shared" si="52"/>
        <v>0</v>
      </c>
      <c r="AA124" s="14">
        <f t="shared" si="53"/>
        <v>0</v>
      </c>
      <c r="AB124" s="12">
        <f t="shared" si="54"/>
        <v>0</v>
      </c>
      <c r="AC124" s="15" t="b">
        <f>IF(OR(A124="",B124=""),FALSE,SubscribeQuotes(A124,B124))</f>
        <v>0</v>
      </c>
      <c r="AD124" s="13">
        <f t="shared" si="55"/>
        <v>0</v>
      </c>
    </row>
    <row r="125" spans="1:30">
      <c r="A125" s="9"/>
      <c r="B125" s="9"/>
      <c r="C125" s="10" t="str">
        <f t="shared" si="30"/>
        <v/>
      </c>
      <c r="D125" s="12">
        <f t="shared" si="31"/>
        <v>0</v>
      </c>
      <c r="E125" s="13">
        <f t="shared" si="32"/>
        <v>0</v>
      </c>
      <c r="F125" s="12">
        <f t="shared" si="33"/>
        <v>0</v>
      </c>
      <c r="G125" s="12">
        <f t="shared" si="34"/>
        <v>0</v>
      </c>
      <c r="H125" s="12">
        <f t="shared" si="35"/>
        <v>0</v>
      </c>
      <c r="I125" s="13">
        <f t="shared" si="36"/>
        <v>0</v>
      </c>
      <c r="J125" s="12">
        <f t="shared" si="37"/>
        <v>0</v>
      </c>
      <c r="K125" s="13">
        <f t="shared" si="38"/>
        <v>0</v>
      </c>
      <c r="L125" s="12">
        <f t="shared" si="39"/>
        <v>0</v>
      </c>
      <c r="M125" s="13">
        <f t="shared" si="40"/>
        <v>0</v>
      </c>
      <c r="N125" s="12">
        <f t="shared" si="41"/>
        <v>0</v>
      </c>
      <c r="O125" s="13">
        <f t="shared" si="42"/>
        <v>0</v>
      </c>
      <c r="P125" s="13">
        <f t="shared" si="43"/>
        <v>0</v>
      </c>
      <c r="Q125" s="13">
        <f t="shared" si="44"/>
        <v>0</v>
      </c>
      <c r="R125" s="12">
        <f t="shared" si="45"/>
        <v>0</v>
      </c>
      <c r="S125" s="12">
        <f t="shared" si="46"/>
        <v>0</v>
      </c>
      <c r="T125" s="12">
        <f t="shared" si="47"/>
        <v>0</v>
      </c>
      <c r="U125" s="12">
        <f t="shared" si="48"/>
        <v>0</v>
      </c>
      <c r="V125" s="13">
        <f t="shared" si="49"/>
        <v>0</v>
      </c>
      <c r="W125" s="12">
        <f t="shared" si="50"/>
        <v>0</v>
      </c>
      <c r="X125" s="12">
        <f t="shared" si="56"/>
        <v>0</v>
      </c>
      <c r="Y125" s="12">
        <f t="shared" si="51"/>
        <v>0</v>
      </c>
      <c r="Z125" s="12">
        <f t="shared" si="52"/>
        <v>0</v>
      </c>
      <c r="AA125" s="14">
        <f t="shared" si="53"/>
        <v>0</v>
      </c>
      <c r="AB125" s="12">
        <f t="shared" si="54"/>
        <v>0</v>
      </c>
      <c r="AC125" s="15" t="b">
        <f>IF(OR(A125="",B125=""),FALSE,SubscribeQuotes(A125,B125))</f>
        <v>0</v>
      </c>
      <c r="AD125" s="13">
        <f t="shared" si="55"/>
        <v>0</v>
      </c>
    </row>
    <row r="126" spans="1:30">
      <c r="A126" s="9"/>
      <c r="B126" s="9"/>
      <c r="C126" s="10" t="str">
        <f t="shared" si="30"/>
        <v/>
      </c>
      <c r="D126" s="12">
        <f t="shared" si="31"/>
        <v>0</v>
      </c>
      <c r="E126" s="13">
        <f t="shared" si="32"/>
        <v>0</v>
      </c>
      <c r="F126" s="12">
        <f t="shared" si="33"/>
        <v>0</v>
      </c>
      <c r="G126" s="12">
        <f t="shared" si="34"/>
        <v>0</v>
      </c>
      <c r="H126" s="12">
        <f t="shared" si="35"/>
        <v>0</v>
      </c>
      <c r="I126" s="13">
        <f t="shared" si="36"/>
        <v>0</v>
      </c>
      <c r="J126" s="12">
        <f t="shared" si="37"/>
        <v>0</v>
      </c>
      <c r="K126" s="13">
        <f t="shared" si="38"/>
        <v>0</v>
      </c>
      <c r="L126" s="12">
        <f t="shared" si="39"/>
        <v>0</v>
      </c>
      <c r="M126" s="13">
        <f t="shared" si="40"/>
        <v>0</v>
      </c>
      <c r="N126" s="12">
        <f t="shared" si="41"/>
        <v>0</v>
      </c>
      <c r="O126" s="13">
        <f t="shared" si="42"/>
        <v>0</v>
      </c>
      <c r="P126" s="13">
        <f t="shared" si="43"/>
        <v>0</v>
      </c>
      <c r="Q126" s="13">
        <f t="shared" si="44"/>
        <v>0</v>
      </c>
      <c r="R126" s="12">
        <f t="shared" si="45"/>
        <v>0</v>
      </c>
      <c r="S126" s="12">
        <f t="shared" si="46"/>
        <v>0</v>
      </c>
      <c r="T126" s="12">
        <f t="shared" si="47"/>
        <v>0</v>
      </c>
      <c r="U126" s="12">
        <f t="shared" si="48"/>
        <v>0</v>
      </c>
      <c r="V126" s="13">
        <f t="shared" si="49"/>
        <v>0</v>
      </c>
      <c r="W126" s="12">
        <f t="shared" si="50"/>
        <v>0</v>
      </c>
      <c r="X126" s="12">
        <f t="shared" si="56"/>
        <v>0</v>
      </c>
      <c r="Y126" s="12">
        <f t="shared" si="51"/>
        <v>0</v>
      </c>
      <c r="Z126" s="12">
        <f t="shared" si="52"/>
        <v>0</v>
      </c>
      <c r="AA126" s="14">
        <f t="shared" si="53"/>
        <v>0</v>
      </c>
      <c r="AB126" s="12">
        <f t="shared" si="54"/>
        <v>0</v>
      </c>
      <c r="AC126" s="15" t="b">
        <f>IF(OR(A126="",B126=""),FALSE,SubscribeQuotes(A126,B126))</f>
        <v>0</v>
      </c>
      <c r="AD126" s="13">
        <f t="shared" si="55"/>
        <v>0</v>
      </c>
    </row>
    <row r="127" spans="1:30">
      <c r="A127" s="9"/>
      <c r="B127" s="9"/>
      <c r="C127" s="10" t="str">
        <f t="shared" si="30"/>
        <v/>
      </c>
      <c r="D127" s="12">
        <f t="shared" si="31"/>
        <v>0</v>
      </c>
      <c r="E127" s="13">
        <f t="shared" si="32"/>
        <v>0</v>
      </c>
      <c r="F127" s="12">
        <f t="shared" si="33"/>
        <v>0</v>
      </c>
      <c r="G127" s="12">
        <f t="shared" si="34"/>
        <v>0</v>
      </c>
      <c r="H127" s="12">
        <f t="shared" si="35"/>
        <v>0</v>
      </c>
      <c r="I127" s="13">
        <f t="shared" si="36"/>
        <v>0</v>
      </c>
      <c r="J127" s="12">
        <f t="shared" si="37"/>
        <v>0</v>
      </c>
      <c r="K127" s="13">
        <f t="shared" si="38"/>
        <v>0</v>
      </c>
      <c r="L127" s="12">
        <f t="shared" si="39"/>
        <v>0</v>
      </c>
      <c r="M127" s="13">
        <f t="shared" si="40"/>
        <v>0</v>
      </c>
      <c r="N127" s="12">
        <f t="shared" si="41"/>
        <v>0</v>
      </c>
      <c r="O127" s="13">
        <f t="shared" si="42"/>
        <v>0</v>
      </c>
      <c r="P127" s="13">
        <f t="shared" si="43"/>
        <v>0</v>
      </c>
      <c r="Q127" s="13">
        <f t="shared" si="44"/>
        <v>0</v>
      </c>
      <c r="R127" s="12">
        <f t="shared" si="45"/>
        <v>0</v>
      </c>
      <c r="S127" s="12">
        <f t="shared" si="46"/>
        <v>0</v>
      </c>
      <c r="T127" s="12">
        <f t="shared" si="47"/>
        <v>0</v>
      </c>
      <c r="U127" s="12">
        <f t="shared" si="48"/>
        <v>0</v>
      </c>
      <c r="V127" s="13">
        <f t="shared" si="49"/>
        <v>0</v>
      </c>
      <c r="W127" s="12">
        <f t="shared" si="50"/>
        <v>0</v>
      </c>
      <c r="X127" s="12">
        <f t="shared" si="56"/>
        <v>0</v>
      </c>
      <c r="Y127" s="12">
        <f t="shared" si="51"/>
        <v>0</v>
      </c>
      <c r="Z127" s="12">
        <f t="shared" si="52"/>
        <v>0</v>
      </c>
      <c r="AA127" s="14">
        <f t="shared" si="53"/>
        <v>0</v>
      </c>
      <c r="AB127" s="12">
        <f t="shared" si="54"/>
        <v>0</v>
      </c>
      <c r="AC127" s="15" t="b">
        <f>IF(OR(A127="",B127=""),FALSE,SubscribeQuotes(A127,B127))</f>
        <v>0</v>
      </c>
      <c r="AD127" s="13">
        <f t="shared" si="55"/>
        <v>0</v>
      </c>
    </row>
    <row r="128" spans="1:30">
      <c r="A128" s="9"/>
      <c r="B128" s="9"/>
      <c r="C128" s="10" t="str">
        <f t="shared" si="30"/>
        <v/>
      </c>
      <c r="D128" s="12">
        <f t="shared" si="31"/>
        <v>0</v>
      </c>
      <c r="E128" s="13">
        <f t="shared" si="32"/>
        <v>0</v>
      </c>
      <c r="F128" s="12">
        <f t="shared" si="33"/>
        <v>0</v>
      </c>
      <c r="G128" s="12">
        <f t="shared" si="34"/>
        <v>0</v>
      </c>
      <c r="H128" s="12">
        <f t="shared" si="35"/>
        <v>0</v>
      </c>
      <c r="I128" s="13">
        <f t="shared" si="36"/>
        <v>0</v>
      </c>
      <c r="J128" s="12">
        <f t="shared" si="37"/>
        <v>0</v>
      </c>
      <c r="K128" s="13">
        <f t="shared" si="38"/>
        <v>0</v>
      </c>
      <c r="L128" s="12">
        <f t="shared" si="39"/>
        <v>0</v>
      </c>
      <c r="M128" s="13">
        <f t="shared" si="40"/>
        <v>0</v>
      </c>
      <c r="N128" s="12">
        <f t="shared" si="41"/>
        <v>0</v>
      </c>
      <c r="O128" s="13">
        <f t="shared" si="42"/>
        <v>0</v>
      </c>
      <c r="P128" s="13">
        <f t="shared" si="43"/>
        <v>0</v>
      </c>
      <c r="Q128" s="13">
        <f t="shared" si="44"/>
        <v>0</v>
      </c>
      <c r="R128" s="12">
        <f t="shared" si="45"/>
        <v>0</v>
      </c>
      <c r="S128" s="12">
        <f t="shared" si="46"/>
        <v>0</v>
      </c>
      <c r="T128" s="12">
        <f t="shared" si="47"/>
        <v>0</v>
      </c>
      <c r="U128" s="12">
        <f t="shared" si="48"/>
        <v>0</v>
      </c>
      <c r="V128" s="13">
        <f t="shared" si="49"/>
        <v>0</v>
      </c>
      <c r="W128" s="12">
        <f t="shared" si="50"/>
        <v>0</v>
      </c>
      <c r="X128" s="12">
        <f t="shared" si="56"/>
        <v>0</v>
      </c>
      <c r="Y128" s="12">
        <f t="shared" si="51"/>
        <v>0</v>
      </c>
      <c r="Z128" s="12">
        <f t="shared" si="52"/>
        <v>0</v>
      </c>
      <c r="AA128" s="14">
        <f t="shared" si="53"/>
        <v>0</v>
      </c>
      <c r="AB128" s="12">
        <f t="shared" si="54"/>
        <v>0</v>
      </c>
      <c r="AC128" s="15" t="b">
        <f>IF(OR(A128="",B128=""),FALSE,SubscribeQuotes(A128,B128))</f>
        <v>0</v>
      </c>
      <c r="AD128" s="13">
        <f t="shared" si="55"/>
        <v>0</v>
      </c>
    </row>
    <row r="129" spans="1:30">
      <c r="A129" s="9"/>
      <c r="B129" s="9"/>
      <c r="C129" s="10" t="str">
        <f t="shared" si="30"/>
        <v/>
      </c>
      <c r="D129" s="12">
        <f t="shared" si="31"/>
        <v>0</v>
      </c>
      <c r="E129" s="13">
        <f t="shared" si="32"/>
        <v>0</v>
      </c>
      <c r="F129" s="12">
        <f t="shared" si="33"/>
        <v>0</v>
      </c>
      <c r="G129" s="12">
        <f t="shared" si="34"/>
        <v>0</v>
      </c>
      <c r="H129" s="12">
        <f t="shared" si="35"/>
        <v>0</v>
      </c>
      <c r="I129" s="13">
        <f t="shared" si="36"/>
        <v>0</v>
      </c>
      <c r="J129" s="12">
        <f t="shared" si="37"/>
        <v>0</v>
      </c>
      <c r="K129" s="13">
        <f t="shared" si="38"/>
        <v>0</v>
      </c>
      <c r="L129" s="12">
        <f t="shared" si="39"/>
        <v>0</v>
      </c>
      <c r="M129" s="13">
        <f t="shared" si="40"/>
        <v>0</v>
      </c>
      <c r="N129" s="12">
        <f t="shared" si="41"/>
        <v>0</v>
      </c>
      <c r="O129" s="13">
        <f t="shared" si="42"/>
        <v>0</v>
      </c>
      <c r="P129" s="13">
        <f t="shared" si="43"/>
        <v>0</v>
      </c>
      <c r="Q129" s="13">
        <f t="shared" si="44"/>
        <v>0</v>
      </c>
      <c r="R129" s="12">
        <f t="shared" si="45"/>
        <v>0</v>
      </c>
      <c r="S129" s="12">
        <f t="shared" si="46"/>
        <v>0</v>
      </c>
      <c r="T129" s="12">
        <f t="shared" si="47"/>
        <v>0</v>
      </c>
      <c r="U129" s="12">
        <f t="shared" si="48"/>
        <v>0</v>
      </c>
      <c r="V129" s="13">
        <f t="shared" si="49"/>
        <v>0</v>
      </c>
      <c r="W129" s="12">
        <f t="shared" si="50"/>
        <v>0</v>
      </c>
      <c r="X129" s="12">
        <f t="shared" si="56"/>
        <v>0</v>
      </c>
      <c r="Y129" s="12">
        <f t="shared" si="51"/>
        <v>0</v>
      </c>
      <c r="Z129" s="12">
        <f t="shared" si="52"/>
        <v>0</v>
      </c>
      <c r="AA129" s="14">
        <f t="shared" si="53"/>
        <v>0</v>
      </c>
      <c r="AB129" s="12">
        <f t="shared" si="54"/>
        <v>0</v>
      </c>
      <c r="AC129" s="15" t="b">
        <f>IF(OR(A129="",B129=""),FALSE,SubscribeQuotes(A129,B129))</f>
        <v>0</v>
      </c>
      <c r="AD129" s="13">
        <f t="shared" si="55"/>
        <v>0</v>
      </c>
    </row>
    <row r="130" spans="1:30">
      <c r="A130" s="9"/>
      <c r="B130" s="9"/>
      <c r="C130" s="10" t="str">
        <f t="shared" si="30"/>
        <v/>
      </c>
      <c r="D130" s="12">
        <f t="shared" si="31"/>
        <v>0</v>
      </c>
      <c r="E130" s="13">
        <f t="shared" si="32"/>
        <v>0</v>
      </c>
      <c r="F130" s="12">
        <f t="shared" si="33"/>
        <v>0</v>
      </c>
      <c r="G130" s="12">
        <f t="shared" si="34"/>
        <v>0</v>
      </c>
      <c r="H130" s="12">
        <f t="shared" si="35"/>
        <v>0</v>
      </c>
      <c r="I130" s="13">
        <f t="shared" si="36"/>
        <v>0</v>
      </c>
      <c r="J130" s="12">
        <f t="shared" si="37"/>
        <v>0</v>
      </c>
      <c r="K130" s="13">
        <f t="shared" si="38"/>
        <v>0</v>
      </c>
      <c r="L130" s="12">
        <f t="shared" si="39"/>
        <v>0</v>
      </c>
      <c r="M130" s="13">
        <f t="shared" si="40"/>
        <v>0</v>
      </c>
      <c r="N130" s="12">
        <f t="shared" si="41"/>
        <v>0</v>
      </c>
      <c r="O130" s="13">
        <f t="shared" si="42"/>
        <v>0</v>
      </c>
      <c r="P130" s="13">
        <f t="shared" si="43"/>
        <v>0</v>
      </c>
      <c r="Q130" s="13">
        <f t="shared" si="44"/>
        <v>0</v>
      </c>
      <c r="R130" s="12">
        <f t="shared" si="45"/>
        <v>0</v>
      </c>
      <c r="S130" s="12">
        <f t="shared" si="46"/>
        <v>0</v>
      </c>
      <c r="T130" s="12">
        <f t="shared" si="47"/>
        <v>0</v>
      </c>
      <c r="U130" s="12">
        <f t="shared" si="48"/>
        <v>0</v>
      </c>
      <c r="V130" s="13">
        <f t="shared" si="49"/>
        <v>0</v>
      </c>
      <c r="W130" s="12">
        <f t="shared" si="50"/>
        <v>0</v>
      </c>
      <c r="X130" s="12">
        <f t="shared" ref="X130:X161" si="57">GetRTD(A130,B130,"UPPERCKT")</f>
        <v>0</v>
      </c>
      <c r="Y130" s="12">
        <f t="shared" si="51"/>
        <v>0</v>
      </c>
      <c r="Z130" s="12">
        <f t="shared" si="52"/>
        <v>0</v>
      </c>
      <c r="AA130" s="14">
        <f t="shared" si="53"/>
        <v>0</v>
      </c>
      <c r="AB130" s="12">
        <f t="shared" si="54"/>
        <v>0</v>
      </c>
      <c r="AC130" s="15" t="b">
        <f>IF(OR(A130="",B130=""),FALSE,SubscribeQuotes(A130,B130))</f>
        <v>0</v>
      </c>
      <c r="AD130" s="13">
        <f t="shared" si="55"/>
        <v>0</v>
      </c>
    </row>
    <row r="131" spans="1:30">
      <c r="A131" s="9"/>
      <c r="B131" s="9"/>
      <c r="C131" s="10" t="str">
        <f t="shared" ref="C131:C194" si="58">IF(D131&gt;0,"MKT DEPTH","")</f>
        <v/>
      </c>
      <c r="D131" s="12">
        <f t="shared" ref="D131:D194" si="59">GetRTD(A131,B131,"LAST")</f>
        <v>0</v>
      </c>
      <c r="E131" s="13">
        <f t="shared" ref="E131:E194" si="60">GetRTD(A131,B131,"NETQTY")</f>
        <v>0</v>
      </c>
      <c r="F131" s="12">
        <f t="shared" ref="F131:F194" si="61">GetRTD(A131,B131,"MTM")</f>
        <v>0</v>
      </c>
      <c r="G131" s="12">
        <f t="shared" ref="G131:G194" si="62">GetRTD(A131,B131,"PCTCHG")</f>
        <v>0</v>
      </c>
      <c r="H131" s="12">
        <f t="shared" ref="H131:H194" si="63">GetRTD(A131,B131,"NETCHG")</f>
        <v>0</v>
      </c>
      <c r="I131" s="13">
        <f t="shared" ref="I131:I194" si="64">GetRTD(A131,B131,"LASTSIZE")</f>
        <v>0</v>
      </c>
      <c r="J131" s="12">
        <f t="shared" ref="J131:J194" si="65">GetRTD(A131,B131,"BID")</f>
        <v>0</v>
      </c>
      <c r="K131" s="13">
        <f t="shared" ref="K131:K194" si="66">GetRTD(A131,B131,"BIDSIZE")</f>
        <v>0</v>
      </c>
      <c r="L131" s="12">
        <f t="shared" ref="L131:L194" si="67">GetRTD(A131,B131,"ASK")</f>
        <v>0</v>
      </c>
      <c r="M131" s="13">
        <f t="shared" ref="M131:M194" si="68">GetRTD(A131,B131,"ASKSIZE")</f>
        <v>0</v>
      </c>
      <c r="N131" s="12">
        <f t="shared" ref="N131:N194" si="69">GetRTD(A131,B131,"AVGPRICE")</f>
        <v>0</v>
      </c>
      <c r="O131" s="13">
        <f t="shared" ref="O131:O194" si="70">GetRTD(A131,B131,"VOLUME")</f>
        <v>0</v>
      </c>
      <c r="P131" s="13">
        <f t="shared" ref="P131:P194" si="71">GetRTD(A131,B131,"BUYQTY")</f>
        <v>0</v>
      </c>
      <c r="Q131" s="13">
        <f t="shared" ref="Q131:Q194" si="72">GetRTD(A131,B131,"SELLQTY")</f>
        <v>0</v>
      </c>
      <c r="R131" s="12">
        <f t="shared" ref="R131:R194" si="73">GetRTD(A131,B131,"OPEN")</f>
        <v>0</v>
      </c>
      <c r="S131" s="12">
        <f t="shared" ref="S131:S194" si="74">GetRTD(A131,B131,"HIGH")</f>
        <v>0</v>
      </c>
      <c r="T131" s="12">
        <f t="shared" ref="T131:T194" si="75">GetRTD(A131,B131,"LOW")</f>
        <v>0</v>
      </c>
      <c r="U131" s="12">
        <f t="shared" ref="U131:U194" si="76">GetRTD(A131,B131,"CLOSE")</f>
        <v>0</v>
      </c>
      <c r="V131" s="13">
        <f t="shared" ref="V131:V194" si="77">GetRTD(A131,B131,"OI")</f>
        <v>0</v>
      </c>
      <c r="W131" s="12">
        <f t="shared" ref="W131:W194" si="78">GetRTD(A131,B131,"LOWERCKT")</f>
        <v>0</v>
      </c>
      <c r="X131" s="12">
        <f t="shared" si="57"/>
        <v>0</v>
      </c>
      <c r="Y131" s="12">
        <f t="shared" ref="Y131:Y194" si="79">GetRTD(A131,B131,"YEARLYHIGH")</f>
        <v>0</v>
      </c>
      <c r="Z131" s="12">
        <f t="shared" ref="Z131:Z194" si="80">GetRTD(A131,B131,"YEARLYLOW")</f>
        <v>0</v>
      </c>
      <c r="AA131" s="14">
        <f t="shared" ref="AA131:AA194" si="81">GetRTD(A131,B131,"LTT")</f>
        <v>0</v>
      </c>
      <c r="AB131" s="12">
        <f t="shared" ref="AB131:AB194" si="82">GetRTD(A131,B131,"SPOT")</f>
        <v>0</v>
      </c>
      <c r="AC131" s="15" t="b">
        <f>IF(OR(A131="",B131=""),FALSE,SubscribeQuotes(A131,B131))</f>
        <v>0</v>
      </c>
      <c r="AD131" s="13">
        <f t="shared" ref="AD131:AD194" si="83">GetValueColor(B131,D131,"Ltp")</f>
        <v>0</v>
      </c>
    </row>
    <row r="132" spans="1:30">
      <c r="A132" s="9"/>
      <c r="B132" s="9"/>
      <c r="C132" s="10" t="str">
        <f t="shared" si="58"/>
        <v/>
      </c>
      <c r="D132" s="12">
        <f t="shared" si="59"/>
        <v>0</v>
      </c>
      <c r="E132" s="13">
        <f t="shared" si="60"/>
        <v>0</v>
      </c>
      <c r="F132" s="12">
        <f t="shared" si="61"/>
        <v>0</v>
      </c>
      <c r="G132" s="12">
        <f t="shared" si="62"/>
        <v>0</v>
      </c>
      <c r="H132" s="12">
        <f t="shared" si="63"/>
        <v>0</v>
      </c>
      <c r="I132" s="13">
        <f t="shared" si="64"/>
        <v>0</v>
      </c>
      <c r="J132" s="12">
        <f t="shared" si="65"/>
        <v>0</v>
      </c>
      <c r="K132" s="13">
        <f t="shared" si="66"/>
        <v>0</v>
      </c>
      <c r="L132" s="12">
        <f t="shared" si="67"/>
        <v>0</v>
      </c>
      <c r="M132" s="13">
        <f t="shared" si="68"/>
        <v>0</v>
      </c>
      <c r="N132" s="12">
        <f t="shared" si="69"/>
        <v>0</v>
      </c>
      <c r="O132" s="13">
        <f t="shared" si="70"/>
        <v>0</v>
      </c>
      <c r="P132" s="13">
        <f t="shared" si="71"/>
        <v>0</v>
      </c>
      <c r="Q132" s="13">
        <f t="shared" si="72"/>
        <v>0</v>
      </c>
      <c r="R132" s="12">
        <f t="shared" si="73"/>
        <v>0</v>
      </c>
      <c r="S132" s="12">
        <f t="shared" si="74"/>
        <v>0</v>
      </c>
      <c r="T132" s="12">
        <f t="shared" si="75"/>
        <v>0</v>
      </c>
      <c r="U132" s="12">
        <f t="shared" si="76"/>
        <v>0</v>
      </c>
      <c r="V132" s="13">
        <f t="shared" si="77"/>
        <v>0</v>
      </c>
      <c r="W132" s="12">
        <f t="shared" si="78"/>
        <v>0</v>
      </c>
      <c r="X132" s="12">
        <f t="shared" si="57"/>
        <v>0</v>
      </c>
      <c r="Y132" s="12">
        <f t="shared" si="79"/>
        <v>0</v>
      </c>
      <c r="Z132" s="12">
        <f t="shared" si="80"/>
        <v>0</v>
      </c>
      <c r="AA132" s="14">
        <f t="shared" si="81"/>
        <v>0</v>
      </c>
      <c r="AB132" s="12">
        <f t="shared" si="82"/>
        <v>0</v>
      </c>
      <c r="AC132" s="15" t="b">
        <f>IF(OR(A132="",B132=""),FALSE,SubscribeQuotes(A132,B132))</f>
        <v>0</v>
      </c>
      <c r="AD132" s="13">
        <f t="shared" si="83"/>
        <v>0</v>
      </c>
    </row>
    <row r="133" spans="1:30">
      <c r="A133" s="9"/>
      <c r="B133" s="9"/>
      <c r="C133" s="10" t="str">
        <f t="shared" si="58"/>
        <v/>
      </c>
      <c r="D133" s="12">
        <f t="shared" si="59"/>
        <v>0</v>
      </c>
      <c r="E133" s="13">
        <f t="shared" si="60"/>
        <v>0</v>
      </c>
      <c r="F133" s="12">
        <f t="shared" si="61"/>
        <v>0</v>
      </c>
      <c r="G133" s="12">
        <f t="shared" si="62"/>
        <v>0</v>
      </c>
      <c r="H133" s="12">
        <f t="shared" si="63"/>
        <v>0</v>
      </c>
      <c r="I133" s="13">
        <f t="shared" si="64"/>
        <v>0</v>
      </c>
      <c r="J133" s="12">
        <f t="shared" si="65"/>
        <v>0</v>
      </c>
      <c r="K133" s="13">
        <f t="shared" si="66"/>
        <v>0</v>
      </c>
      <c r="L133" s="12">
        <f t="shared" si="67"/>
        <v>0</v>
      </c>
      <c r="M133" s="13">
        <f t="shared" si="68"/>
        <v>0</v>
      </c>
      <c r="N133" s="12">
        <f t="shared" si="69"/>
        <v>0</v>
      </c>
      <c r="O133" s="13">
        <f t="shared" si="70"/>
        <v>0</v>
      </c>
      <c r="P133" s="13">
        <f t="shared" si="71"/>
        <v>0</v>
      </c>
      <c r="Q133" s="13">
        <f t="shared" si="72"/>
        <v>0</v>
      </c>
      <c r="R133" s="12">
        <f t="shared" si="73"/>
        <v>0</v>
      </c>
      <c r="S133" s="12">
        <f t="shared" si="74"/>
        <v>0</v>
      </c>
      <c r="T133" s="12">
        <f t="shared" si="75"/>
        <v>0</v>
      </c>
      <c r="U133" s="12">
        <f t="shared" si="76"/>
        <v>0</v>
      </c>
      <c r="V133" s="13">
        <f t="shared" si="77"/>
        <v>0</v>
      </c>
      <c r="W133" s="12">
        <f t="shared" si="78"/>
        <v>0</v>
      </c>
      <c r="X133" s="12">
        <f t="shared" si="57"/>
        <v>0</v>
      </c>
      <c r="Y133" s="12">
        <f t="shared" si="79"/>
        <v>0</v>
      </c>
      <c r="Z133" s="12">
        <f t="shared" si="80"/>
        <v>0</v>
      </c>
      <c r="AA133" s="14">
        <f t="shared" si="81"/>
        <v>0</v>
      </c>
      <c r="AB133" s="12">
        <f t="shared" si="82"/>
        <v>0</v>
      </c>
      <c r="AC133" s="15" t="b">
        <f>IF(OR(A133="",B133=""),FALSE,SubscribeQuotes(A133,B133))</f>
        <v>0</v>
      </c>
      <c r="AD133" s="13">
        <f t="shared" si="83"/>
        <v>0</v>
      </c>
    </row>
    <row r="134" spans="1:30">
      <c r="A134" s="9"/>
      <c r="B134" s="9"/>
      <c r="C134" s="10" t="str">
        <f t="shared" si="58"/>
        <v/>
      </c>
      <c r="D134" s="12">
        <f t="shared" si="59"/>
        <v>0</v>
      </c>
      <c r="E134" s="13">
        <f t="shared" si="60"/>
        <v>0</v>
      </c>
      <c r="F134" s="12">
        <f t="shared" si="61"/>
        <v>0</v>
      </c>
      <c r="G134" s="12">
        <f t="shared" si="62"/>
        <v>0</v>
      </c>
      <c r="H134" s="12">
        <f t="shared" si="63"/>
        <v>0</v>
      </c>
      <c r="I134" s="13">
        <f t="shared" si="64"/>
        <v>0</v>
      </c>
      <c r="J134" s="12">
        <f t="shared" si="65"/>
        <v>0</v>
      </c>
      <c r="K134" s="13">
        <f t="shared" si="66"/>
        <v>0</v>
      </c>
      <c r="L134" s="12">
        <f t="shared" si="67"/>
        <v>0</v>
      </c>
      <c r="M134" s="13">
        <f t="shared" si="68"/>
        <v>0</v>
      </c>
      <c r="N134" s="12">
        <f t="shared" si="69"/>
        <v>0</v>
      </c>
      <c r="O134" s="13">
        <f t="shared" si="70"/>
        <v>0</v>
      </c>
      <c r="P134" s="13">
        <f t="shared" si="71"/>
        <v>0</v>
      </c>
      <c r="Q134" s="13">
        <f t="shared" si="72"/>
        <v>0</v>
      </c>
      <c r="R134" s="12">
        <f t="shared" si="73"/>
        <v>0</v>
      </c>
      <c r="S134" s="12">
        <f t="shared" si="74"/>
        <v>0</v>
      </c>
      <c r="T134" s="12">
        <f t="shared" si="75"/>
        <v>0</v>
      </c>
      <c r="U134" s="12">
        <f t="shared" si="76"/>
        <v>0</v>
      </c>
      <c r="V134" s="13">
        <f t="shared" si="77"/>
        <v>0</v>
      </c>
      <c r="W134" s="12">
        <f t="shared" si="78"/>
        <v>0</v>
      </c>
      <c r="X134" s="12">
        <f t="shared" si="57"/>
        <v>0</v>
      </c>
      <c r="Y134" s="12">
        <f t="shared" si="79"/>
        <v>0</v>
      </c>
      <c r="Z134" s="12">
        <f t="shared" si="80"/>
        <v>0</v>
      </c>
      <c r="AA134" s="14">
        <f t="shared" si="81"/>
        <v>0</v>
      </c>
      <c r="AB134" s="12">
        <f t="shared" si="82"/>
        <v>0</v>
      </c>
      <c r="AC134" s="15" t="b">
        <f>IF(OR(A134="",B134=""),FALSE,SubscribeQuotes(A134,B134))</f>
        <v>0</v>
      </c>
      <c r="AD134" s="13">
        <f t="shared" si="83"/>
        <v>0</v>
      </c>
    </row>
    <row r="135" spans="1:30">
      <c r="A135" s="9"/>
      <c r="B135" s="9"/>
      <c r="C135" s="10" t="str">
        <f t="shared" si="58"/>
        <v/>
      </c>
      <c r="D135" s="12">
        <f t="shared" si="59"/>
        <v>0</v>
      </c>
      <c r="E135" s="13">
        <f t="shared" si="60"/>
        <v>0</v>
      </c>
      <c r="F135" s="12">
        <f t="shared" si="61"/>
        <v>0</v>
      </c>
      <c r="G135" s="12">
        <f t="shared" si="62"/>
        <v>0</v>
      </c>
      <c r="H135" s="12">
        <f t="shared" si="63"/>
        <v>0</v>
      </c>
      <c r="I135" s="13">
        <f t="shared" si="64"/>
        <v>0</v>
      </c>
      <c r="J135" s="12">
        <f t="shared" si="65"/>
        <v>0</v>
      </c>
      <c r="K135" s="13">
        <f t="shared" si="66"/>
        <v>0</v>
      </c>
      <c r="L135" s="12">
        <f t="shared" si="67"/>
        <v>0</v>
      </c>
      <c r="M135" s="13">
        <f t="shared" si="68"/>
        <v>0</v>
      </c>
      <c r="N135" s="12">
        <f t="shared" si="69"/>
        <v>0</v>
      </c>
      <c r="O135" s="13">
        <f t="shared" si="70"/>
        <v>0</v>
      </c>
      <c r="P135" s="13">
        <f t="shared" si="71"/>
        <v>0</v>
      </c>
      <c r="Q135" s="13">
        <f t="shared" si="72"/>
        <v>0</v>
      </c>
      <c r="R135" s="12">
        <f t="shared" si="73"/>
        <v>0</v>
      </c>
      <c r="S135" s="12">
        <f t="shared" si="74"/>
        <v>0</v>
      </c>
      <c r="T135" s="12">
        <f t="shared" si="75"/>
        <v>0</v>
      </c>
      <c r="U135" s="12">
        <f t="shared" si="76"/>
        <v>0</v>
      </c>
      <c r="V135" s="13">
        <f t="shared" si="77"/>
        <v>0</v>
      </c>
      <c r="W135" s="12">
        <f t="shared" si="78"/>
        <v>0</v>
      </c>
      <c r="X135" s="12">
        <f t="shared" si="57"/>
        <v>0</v>
      </c>
      <c r="Y135" s="12">
        <f t="shared" si="79"/>
        <v>0</v>
      </c>
      <c r="Z135" s="12">
        <f t="shared" si="80"/>
        <v>0</v>
      </c>
      <c r="AA135" s="14">
        <f t="shared" si="81"/>
        <v>0</v>
      </c>
      <c r="AB135" s="12">
        <f t="shared" si="82"/>
        <v>0</v>
      </c>
      <c r="AC135" s="15" t="b">
        <f>IF(OR(A135="",B135=""),FALSE,SubscribeQuotes(A135,B135))</f>
        <v>0</v>
      </c>
      <c r="AD135" s="13">
        <f t="shared" si="83"/>
        <v>0</v>
      </c>
    </row>
    <row r="136" spans="1:30">
      <c r="A136" s="9"/>
      <c r="B136" s="9"/>
      <c r="C136" s="10" t="str">
        <f t="shared" si="58"/>
        <v/>
      </c>
      <c r="D136" s="12">
        <f t="shared" si="59"/>
        <v>0</v>
      </c>
      <c r="E136" s="13">
        <f t="shared" si="60"/>
        <v>0</v>
      </c>
      <c r="F136" s="12">
        <f t="shared" si="61"/>
        <v>0</v>
      </c>
      <c r="G136" s="12">
        <f t="shared" si="62"/>
        <v>0</v>
      </c>
      <c r="H136" s="12">
        <f t="shared" si="63"/>
        <v>0</v>
      </c>
      <c r="I136" s="13">
        <f t="shared" si="64"/>
        <v>0</v>
      </c>
      <c r="J136" s="12">
        <f t="shared" si="65"/>
        <v>0</v>
      </c>
      <c r="K136" s="13">
        <f t="shared" si="66"/>
        <v>0</v>
      </c>
      <c r="L136" s="12">
        <f t="shared" si="67"/>
        <v>0</v>
      </c>
      <c r="M136" s="13">
        <f t="shared" si="68"/>
        <v>0</v>
      </c>
      <c r="N136" s="12">
        <f t="shared" si="69"/>
        <v>0</v>
      </c>
      <c r="O136" s="13">
        <f t="shared" si="70"/>
        <v>0</v>
      </c>
      <c r="P136" s="13">
        <f t="shared" si="71"/>
        <v>0</v>
      </c>
      <c r="Q136" s="13">
        <f t="shared" si="72"/>
        <v>0</v>
      </c>
      <c r="R136" s="12">
        <f t="shared" si="73"/>
        <v>0</v>
      </c>
      <c r="S136" s="12">
        <f t="shared" si="74"/>
        <v>0</v>
      </c>
      <c r="T136" s="12">
        <f t="shared" si="75"/>
        <v>0</v>
      </c>
      <c r="U136" s="12">
        <f t="shared" si="76"/>
        <v>0</v>
      </c>
      <c r="V136" s="13">
        <f t="shared" si="77"/>
        <v>0</v>
      </c>
      <c r="W136" s="12">
        <f t="shared" si="78"/>
        <v>0</v>
      </c>
      <c r="X136" s="12">
        <f t="shared" si="57"/>
        <v>0</v>
      </c>
      <c r="Y136" s="12">
        <f t="shared" si="79"/>
        <v>0</v>
      </c>
      <c r="Z136" s="12">
        <f t="shared" si="80"/>
        <v>0</v>
      </c>
      <c r="AA136" s="14">
        <f t="shared" si="81"/>
        <v>0</v>
      </c>
      <c r="AB136" s="12">
        <f t="shared" si="82"/>
        <v>0</v>
      </c>
      <c r="AC136" s="15" t="b">
        <f>IF(OR(A136="",B136=""),FALSE,SubscribeQuotes(A136,B136))</f>
        <v>0</v>
      </c>
      <c r="AD136" s="13">
        <f t="shared" si="83"/>
        <v>0</v>
      </c>
    </row>
    <row r="137" spans="1:30">
      <c r="A137" s="9"/>
      <c r="B137" s="9"/>
      <c r="C137" s="10" t="str">
        <f t="shared" si="58"/>
        <v/>
      </c>
      <c r="D137" s="12">
        <f t="shared" si="59"/>
        <v>0</v>
      </c>
      <c r="E137" s="13">
        <f t="shared" si="60"/>
        <v>0</v>
      </c>
      <c r="F137" s="12">
        <f t="shared" si="61"/>
        <v>0</v>
      </c>
      <c r="G137" s="12">
        <f t="shared" si="62"/>
        <v>0</v>
      </c>
      <c r="H137" s="12">
        <f t="shared" si="63"/>
        <v>0</v>
      </c>
      <c r="I137" s="13">
        <f t="shared" si="64"/>
        <v>0</v>
      </c>
      <c r="J137" s="12">
        <f t="shared" si="65"/>
        <v>0</v>
      </c>
      <c r="K137" s="13">
        <f t="shared" si="66"/>
        <v>0</v>
      </c>
      <c r="L137" s="12">
        <f t="shared" si="67"/>
        <v>0</v>
      </c>
      <c r="M137" s="13">
        <f t="shared" si="68"/>
        <v>0</v>
      </c>
      <c r="N137" s="12">
        <f t="shared" si="69"/>
        <v>0</v>
      </c>
      <c r="O137" s="13">
        <f t="shared" si="70"/>
        <v>0</v>
      </c>
      <c r="P137" s="13">
        <f t="shared" si="71"/>
        <v>0</v>
      </c>
      <c r="Q137" s="13">
        <f t="shared" si="72"/>
        <v>0</v>
      </c>
      <c r="R137" s="12">
        <f t="shared" si="73"/>
        <v>0</v>
      </c>
      <c r="S137" s="12">
        <f t="shared" si="74"/>
        <v>0</v>
      </c>
      <c r="T137" s="12">
        <f t="shared" si="75"/>
        <v>0</v>
      </c>
      <c r="U137" s="12">
        <f t="shared" si="76"/>
        <v>0</v>
      </c>
      <c r="V137" s="13">
        <f t="shared" si="77"/>
        <v>0</v>
      </c>
      <c r="W137" s="12">
        <f t="shared" si="78"/>
        <v>0</v>
      </c>
      <c r="X137" s="12">
        <f t="shared" si="57"/>
        <v>0</v>
      </c>
      <c r="Y137" s="12">
        <f t="shared" si="79"/>
        <v>0</v>
      </c>
      <c r="Z137" s="12">
        <f t="shared" si="80"/>
        <v>0</v>
      </c>
      <c r="AA137" s="14">
        <f t="shared" si="81"/>
        <v>0</v>
      </c>
      <c r="AB137" s="12">
        <f t="shared" si="82"/>
        <v>0</v>
      </c>
      <c r="AC137" s="15" t="b">
        <f>IF(OR(A137="",B137=""),FALSE,SubscribeQuotes(A137,B137))</f>
        <v>0</v>
      </c>
      <c r="AD137" s="13">
        <f t="shared" si="83"/>
        <v>0</v>
      </c>
    </row>
    <row r="138" spans="1:30">
      <c r="A138" s="9"/>
      <c r="B138" s="9"/>
      <c r="C138" s="10" t="str">
        <f t="shared" si="58"/>
        <v/>
      </c>
      <c r="D138" s="12">
        <f t="shared" si="59"/>
        <v>0</v>
      </c>
      <c r="E138" s="13">
        <f t="shared" si="60"/>
        <v>0</v>
      </c>
      <c r="F138" s="12">
        <f t="shared" si="61"/>
        <v>0</v>
      </c>
      <c r="G138" s="12">
        <f t="shared" si="62"/>
        <v>0</v>
      </c>
      <c r="H138" s="12">
        <f t="shared" si="63"/>
        <v>0</v>
      </c>
      <c r="I138" s="13">
        <f t="shared" si="64"/>
        <v>0</v>
      </c>
      <c r="J138" s="12">
        <f t="shared" si="65"/>
        <v>0</v>
      </c>
      <c r="K138" s="13">
        <f t="shared" si="66"/>
        <v>0</v>
      </c>
      <c r="L138" s="12">
        <f t="shared" si="67"/>
        <v>0</v>
      </c>
      <c r="M138" s="13">
        <f t="shared" si="68"/>
        <v>0</v>
      </c>
      <c r="N138" s="12">
        <f t="shared" si="69"/>
        <v>0</v>
      </c>
      <c r="O138" s="13">
        <f t="shared" si="70"/>
        <v>0</v>
      </c>
      <c r="P138" s="13">
        <f t="shared" si="71"/>
        <v>0</v>
      </c>
      <c r="Q138" s="13">
        <f t="shared" si="72"/>
        <v>0</v>
      </c>
      <c r="R138" s="12">
        <f t="shared" si="73"/>
        <v>0</v>
      </c>
      <c r="S138" s="12">
        <f t="shared" si="74"/>
        <v>0</v>
      </c>
      <c r="T138" s="12">
        <f t="shared" si="75"/>
        <v>0</v>
      </c>
      <c r="U138" s="12">
        <f t="shared" si="76"/>
        <v>0</v>
      </c>
      <c r="V138" s="13">
        <f t="shared" si="77"/>
        <v>0</v>
      </c>
      <c r="W138" s="12">
        <f t="shared" si="78"/>
        <v>0</v>
      </c>
      <c r="X138" s="12">
        <f t="shared" si="57"/>
        <v>0</v>
      </c>
      <c r="Y138" s="12">
        <f t="shared" si="79"/>
        <v>0</v>
      </c>
      <c r="Z138" s="12">
        <f t="shared" si="80"/>
        <v>0</v>
      </c>
      <c r="AA138" s="14">
        <f t="shared" si="81"/>
        <v>0</v>
      </c>
      <c r="AB138" s="12">
        <f t="shared" si="82"/>
        <v>0</v>
      </c>
      <c r="AC138" s="15" t="b">
        <f>IF(OR(A138="",B138=""),FALSE,SubscribeQuotes(A138,B138))</f>
        <v>0</v>
      </c>
      <c r="AD138" s="13">
        <f t="shared" si="83"/>
        <v>0</v>
      </c>
    </row>
    <row r="139" spans="1:30">
      <c r="A139" s="9"/>
      <c r="B139" s="9"/>
      <c r="C139" s="10" t="str">
        <f t="shared" si="58"/>
        <v/>
      </c>
      <c r="D139" s="12">
        <f t="shared" si="59"/>
        <v>0</v>
      </c>
      <c r="E139" s="13">
        <f t="shared" si="60"/>
        <v>0</v>
      </c>
      <c r="F139" s="12">
        <f t="shared" si="61"/>
        <v>0</v>
      </c>
      <c r="G139" s="12">
        <f t="shared" si="62"/>
        <v>0</v>
      </c>
      <c r="H139" s="12">
        <f t="shared" si="63"/>
        <v>0</v>
      </c>
      <c r="I139" s="13">
        <f t="shared" si="64"/>
        <v>0</v>
      </c>
      <c r="J139" s="12">
        <f t="shared" si="65"/>
        <v>0</v>
      </c>
      <c r="K139" s="13">
        <f t="shared" si="66"/>
        <v>0</v>
      </c>
      <c r="L139" s="12">
        <f t="shared" si="67"/>
        <v>0</v>
      </c>
      <c r="M139" s="13">
        <f t="shared" si="68"/>
        <v>0</v>
      </c>
      <c r="N139" s="12">
        <f t="shared" si="69"/>
        <v>0</v>
      </c>
      <c r="O139" s="13">
        <f t="shared" si="70"/>
        <v>0</v>
      </c>
      <c r="P139" s="13">
        <f t="shared" si="71"/>
        <v>0</v>
      </c>
      <c r="Q139" s="13">
        <f t="shared" si="72"/>
        <v>0</v>
      </c>
      <c r="R139" s="12">
        <f t="shared" si="73"/>
        <v>0</v>
      </c>
      <c r="S139" s="12">
        <f t="shared" si="74"/>
        <v>0</v>
      </c>
      <c r="T139" s="12">
        <f t="shared" si="75"/>
        <v>0</v>
      </c>
      <c r="U139" s="12">
        <f t="shared" si="76"/>
        <v>0</v>
      </c>
      <c r="V139" s="13">
        <f t="shared" si="77"/>
        <v>0</v>
      </c>
      <c r="W139" s="12">
        <f t="shared" si="78"/>
        <v>0</v>
      </c>
      <c r="X139" s="12">
        <f t="shared" si="57"/>
        <v>0</v>
      </c>
      <c r="Y139" s="12">
        <f t="shared" si="79"/>
        <v>0</v>
      </c>
      <c r="Z139" s="12">
        <f t="shared" si="80"/>
        <v>0</v>
      </c>
      <c r="AA139" s="14">
        <f t="shared" si="81"/>
        <v>0</v>
      </c>
      <c r="AB139" s="12">
        <f t="shared" si="82"/>
        <v>0</v>
      </c>
      <c r="AC139" s="15" t="b">
        <f>IF(OR(A139="",B139=""),FALSE,SubscribeQuotes(A139,B139))</f>
        <v>0</v>
      </c>
      <c r="AD139" s="13">
        <f t="shared" si="83"/>
        <v>0</v>
      </c>
    </row>
    <row r="140" spans="1:30">
      <c r="A140" s="9"/>
      <c r="B140" s="9"/>
      <c r="C140" s="10" t="str">
        <f t="shared" si="58"/>
        <v/>
      </c>
      <c r="D140" s="12">
        <f t="shared" si="59"/>
        <v>0</v>
      </c>
      <c r="E140" s="13">
        <f t="shared" si="60"/>
        <v>0</v>
      </c>
      <c r="F140" s="12">
        <f t="shared" si="61"/>
        <v>0</v>
      </c>
      <c r="G140" s="12">
        <f t="shared" si="62"/>
        <v>0</v>
      </c>
      <c r="H140" s="12">
        <f t="shared" si="63"/>
        <v>0</v>
      </c>
      <c r="I140" s="13">
        <f t="shared" si="64"/>
        <v>0</v>
      </c>
      <c r="J140" s="12">
        <f t="shared" si="65"/>
        <v>0</v>
      </c>
      <c r="K140" s="13">
        <f t="shared" si="66"/>
        <v>0</v>
      </c>
      <c r="L140" s="12">
        <f t="shared" si="67"/>
        <v>0</v>
      </c>
      <c r="M140" s="13">
        <f t="shared" si="68"/>
        <v>0</v>
      </c>
      <c r="N140" s="12">
        <f t="shared" si="69"/>
        <v>0</v>
      </c>
      <c r="O140" s="13">
        <f t="shared" si="70"/>
        <v>0</v>
      </c>
      <c r="P140" s="13">
        <f t="shared" si="71"/>
        <v>0</v>
      </c>
      <c r="Q140" s="13">
        <f t="shared" si="72"/>
        <v>0</v>
      </c>
      <c r="R140" s="12">
        <f t="shared" si="73"/>
        <v>0</v>
      </c>
      <c r="S140" s="12">
        <f t="shared" si="74"/>
        <v>0</v>
      </c>
      <c r="T140" s="12">
        <f t="shared" si="75"/>
        <v>0</v>
      </c>
      <c r="U140" s="12">
        <f t="shared" si="76"/>
        <v>0</v>
      </c>
      <c r="V140" s="13">
        <f t="shared" si="77"/>
        <v>0</v>
      </c>
      <c r="W140" s="12">
        <f t="shared" si="78"/>
        <v>0</v>
      </c>
      <c r="X140" s="12">
        <f t="shared" si="57"/>
        <v>0</v>
      </c>
      <c r="Y140" s="12">
        <f t="shared" si="79"/>
        <v>0</v>
      </c>
      <c r="Z140" s="12">
        <f t="shared" si="80"/>
        <v>0</v>
      </c>
      <c r="AA140" s="14">
        <f t="shared" si="81"/>
        <v>0</v>
      </c>
      <c r="AB140" s="12">
        <f t="shared" si="82"/>
        <v>0</v>
      </c>
      <c r="AC140" s="15" t="b">
        <f>IF(OR(A140="",B140=""),FALSE,SubscribeQuotes(A140,B140))</f>
        <v>0</v>
      </c>
      <c r="AD140" s="13">
        <f t="shared" si="83"/>
        <v>0</v>
      </c>
    </row>
    <row r="141" spans="1:30">
      <c r="A141" s="9"/>
      <c r="B141" s="9"/>
      <c r="C141" s="10" t="str">
        <f t="shared" si="58"/>
        <v/>
      </c>
      <c r="D141" s="12">
        <f t="shared" si="59"/>
        <v>0</v>
      </c>
      <c r="E141" s="13">
        <f t="shared" si="60"/>
        <v>0</v>
      </c>
      <c r="F141" s="12">
        <f t="shared" si="61"/>
        <v>0</v>
      </c>
      <c r="G141" s="12">
        <f t="shared" si="62"/>
        <v>0</v>
      </c>
      <c r="H141" s="12">
        <f t="shared" si="63"/>
        <v>0</v>
      </c>
      <c r="I141" s="13">
        <f t="shared" si="64"/>
        <v>0</v>
      </c>
      <c r="J141" s="12">
        <f t="shared" si="65"/>
        <v>0</v>
      </c>
      <c r="K141" s="13">
        <f t="shared" si="66"/>
        <v>0</v>
      </c>
      <c r="L141" s="12">
        <f t="shared" si="67"/>
        <v>0</v>
      </c>
      <c r="M141" s="13">
        <f t="shared" si="68"/>
        <v>0</v>
      </c>
      <c r="N141" s="12">
        <f t="shared" si="69"/>
        <v>0</v>
      </c>
      <c r="O141" s="13">
        <f t="shared" si="70"/>
        <v>0</v>
      </c>
      <c r="P141" s="13">
        <f t="shared" si="71"/>
        <v>0</v>
      </c>
      <c r="Q141" s="13">
        <f t="shared" si="72"/>
        <v>0</v>
      </c>
      <c r="R141" s="12">
        <f t="shared" si="73"/>
        <v>0</v>
      </c>
      <c r="S141" s="12">
        <f t="shared" si="74"/>
        <v>0</v>
      </c>
      <c r="T141" s="12">
        <f t="shared" si="75"/>
        <v>0</v>
      </c>
      <c r="U141" s="12">
        <f t="shared" si="76"/>
        <v>0</v>
      </c>
      <c r="V141" s="13">
        <f t="shared" si="77"/>
        <v>0</v>
      </c>
      <c r="W141" s="12">
        <f t="shared" si="78"/>
        <v>0</v>
      </c>
      <c r="X141" s="12">
        <f t="shared" si="57"/>
        <v>0</v>
      </c>
      <c r="Y141" s="12">
        <f t="shared" si="79"/>
        <v>0</v>
      </c>
      <c r="Z141" s="12">
        <f t="shared" si="80"/>
        <v>0</v>
      </c>
      <c r="AA141" s="14">
        <f t="shared" si="81"/>
        <v>0</v>
      </c>
      <c r="AB141" s="12">
        <f t="shared" si="82"/>
        <v>0</v>
      </c>
      <c r="AC141" s="15" t="b">
        <f>IF(OR(A141="",B141=""),FALSE,SubscribeQuotes(A141,B141))</f>
        <v>0</v>
      </c>
      <c r="AD141" s="13">
        <f t="shared" si="83"/>
        <v>0</v>
      </c>
    </row>
    <row r="142" spans="1:30">
      <c r="A142" s="9"/>
      <c r="B142" s="9"/>
      <c r="C142" s="10" t="str">
        <f t="shared" si="58"/>
        <v/>
      </c>
      <c r="D142" s="12">
        <f t="shared" si="59"/>
        <v>0</v>
      </c>
      <c r="E142" s="13">
        <f t="shared" si="60"/>
        <v>0</v>
      </c>
      <c r="F142" s="12">
        <f t="shared" si="61"/>
        <v>0</v>
      </c>
      <c r="G142" s="12">
        <f t="shared" si="62"/>
        <v>0</v>
      </c>
      <c r="H142" s="12">
        <f t="shared" si="63"/>
        <v>0</v>
      </c>
      <c r="I142" s="13">
        <f t="shared" si="64"/>
        <v>0</v>
      </c>
      <c r="J142" s="12">
        <f t="shared" si="65"/>
        <v>0</v>
      </c>
      <c r="K142" s="13">
        <f t="shared" si="66"/>
        <v>0</v>
      </c>
      <c r="L142" s="12">
        <f t="shared" si="67"/>
        <v>0</v>
      </c>
      <c r="M142" s="13">
        <f t="shared" si="68"/>
        <v>0</v>
      </c>
      <c r="N142" s="12">
        <f t="shared" si="69"/>
        <v>0</v>
      </c>
      <c r="O142" s="13">
        <f t="shared" si="70"/>
        <v>0</v>
      </c>
      <c r="P142" s="13">
        <f t="shared" si="71"/>
        <v>0</v>
      </c>
      <c r="Q142" s="13">
        <f t="shared" si="72"/>
        <v>0</v>
      </c>
      <c r="R142" s="12">
        <f t="shared" si="73"/>
        <v>0</v>
      </c>
      <c r="S142" s="12">
        <f t="shared" si="74"/>
        <v>0</v>
      </c>
      <c r="T142" s="12">
        <f t="shared" si="75"/>
        <v>0</v>
      </c>
      <c r="U142" s="12">
        <f t="shared" si="76"/>
        <v>0</v>
      </c>
      <c r="V142" s="13">
        <f t="shared" si="77"/>
        <v>0</v>
      </c>
      <c r="W142" s="12">
        <f t="shared" si="78"/>
        <v>0</v>
      </c>
      <c r="X142" s="12">
        <f t="shared" si="57"/>
        <v>0</v>
      </c>
      <c r="Y142" s="12">
        <f t="shared" si="79"/>
        <v>0</v>
      </c>
      <c r="Z142" s="12">
        <f t="shared" si="80"/>
        <v>0</v>
      </c>
      <c r="AA142" s="14">
        <f t="shared" si="81"/>
        <v>0</v>
      </c>
      <c r="AB142" s="12">
        <f t="shared" si="82"/>
        <v>0</v>
      </c>
      <c r="AC142" s="15" t="b">
        <f>IF(OR(A142="",B142=""),FALSE,SubscribeQuotes(A142,B142))</f>
        <v>0</v>
      </c>
      <c r="AD142" s="13">
        <f t="shared" si="83"/>
        <v>0</v>
      </c>
    </row>
    <row r="143" spans="1:30">
      <c r="A143" s="9"/>
      <c r="B143" s="9"/>
      <c r="C143" s="10" t="str">
        <f t="shared" si="58"/>
        <v/>
      </c>
      <c r="D143" s="12">
        <f t="shared" si="59"/>
        <v>0</v>
      </c>
      <c r="E143" s="13">
        <f t="shared" si="60"/>
        <v>0</v>
      </c>
      <c r="F143" s="12">
        <f t="shared" si="61"/>
        <v>0</v>
      </c>
      <c r="G143" s="12">
        <f t="shared" si="62"/>
        <v>0</v>
      </c>
      <c r="H143" s="12">
        <f t="shared" si="63"/>
        <v>0</v>
      </c>
      <c r="I143" s="13">
        <f t="shared" si="64"/>
        <v>0</v>
      </c>
      <c r="J143" s="12">
        <f t="shared" si="65"/>
        <v>0</v>
      </c>
      <c r="K143" s="13">
        <f t="shared" si="66"/>
        <v>0</v>
      </c>
      <c r="L143" s="12">
        <f t="shared" si="67"/>
        <v>0</v>
      </c>
      <c r="M143" s="13">
        <f t="shared" si="68"/>
        <v>0</v>
      </c>
      <c r="N143" s="12">
        <f t="shared" si="69"/>
        <v>0</v>
      </c>
      <c r="O143" s="13">
        <f t="shared" si="70"/>
        <v>0</v>
      </c>
      <c r="P143" s="13">
        <f t="shared" si="71"/>
        <v>0</v>
      </c>
      <c r="Q143" s="13">
        <f t="shared" si="72"/>
        <v>0</v>
      </c>
      <c r="R143" s="12">
        <f t="shared" si="73"/>
        <v>0</v>
      </c>
      <c r="S143" s="12">
        <f t="shared" si="74"/>
        <v>0</v>
      </c>
      <c r="T143" s="12">
        <f t="shared" si="75"/>
        <v>0</v>
      </c>
      <c r="U143" s="12">
        <f t="shared" si="76"/>
        <v>0</v>
      </c>
      <c r="V143" s="13">
        <f t="shared" si="77"/>
        <v>0</v>
      </c>
      <c r="W143" s="12">
        <f t="shared" si="78"/>
        <v>0</v>
      </c>
      <c r="X143" s="12">
        <f t="shared" si="57"/>
        <v>0</v>
      </c>
      <c r="Y143" s="12">
        <f t="shared" si="79"/>
        <v>0</v>
      </c>
      <c r="Z143" s="12">
        <f t="shared" si="80"/>
        <v>0</v>
      </c>
      <c r="AA143" s="14">
        <f t="shared" si="81"/>
        <v>0</v>
      </c>
      <c r="AB143" s="12">
        <f t="shared" si="82"/>
        <v>0</v>
      </c>
      <c r="AC143" s="15" t="b">
        <f>IF(OR(A143="",B143=""),FALSE,SubscribeQuotes(A143,B143))</f>
        <v>0</v>
      </c>
      <c r="AD143" s="13">
        <f t="shared" si="83"/>
        <v>0</v>
      </c>
    </row>
    <row r="144" spans="1:30">
      <c r="A144" s="9"/>
      <c r="B144" s="9"/>
      <c r="C144" s="10" t="str">
        <f t="shared" si="58"/>
        <v/>
      </c>
      <c r="D144" s="12">
        <f t="shared" si="59"/>
        <v>0</v>
      </c>
      <c r="E144" s="13">
        <f t="shared" si="60"/>
        <v>0</v>
      </c>
      <c r="F144" s="12">
        <f t="shared" si="61"/>
        <v>0</v>
      </c>
      <c r="G144" s="12">
        <f t="shared" si="62"/>
        <v>0</v>
      </c>
      <c r="H144" s="12">
        <f t="shared" si="63"/>
        <v>0</v>
      </c>
      <c r="I144" s="13">
        <f t="shared" si="64"/>
        <v>0</v>
      </c>
      <c r="J144" s="12">
        <f t="shared" si="65"/>
        <v>0</v>
      </c>
      <c r="K144" s="13">
        <f t="shared" si="66"/>
        <v>0</v>
      </c>
      <c r="L144" s="12">
        <f t="shared" si="67"/>
        <v>0</v>
      </c>
      <c r="M144" s="13">
        <f t="shared" si="68"/>
        <v>0</v>
      </c>
      <c r="N144" s="12">
        <f t="shared" si="69"/>
        <v>0</v>
      </c>
      <c r="O144" s="13">
        <f t="shared" si="70"/>
        <v>0</v>
      </c>
      <c r="P144" s="13">
        <f t="shared" si="71"/>
        <v>0</v>
      </c>
      <c r="Q144" s="13">
        <f t="shared" si="72"/>
        <v>0</v>
      </c>
      <c r="R144" s="12">
        <f t="shared" si="73"/>
        <v>0</v>
      </c>
      <c r="S144" s="12">
        <f t="shared" si="74"/>
        <v>0</v>
      </c>
      <c r="T144" s="12">
        <f t="shared" si="75"/>
        <v>0</v>
      </c>
      <c r="U144" s="12">
        <f t="shared" si="76"/>
        <v>0</v>
      </c>
      <c r="V144" s="13">
        <f t="shared" si="77"/>
        <v>0</v>
      </c>
      <c r="W144" s="12">
        <f t="shared" si="78"/>
        <v>0</v>
      </c>
      <c r="X144" s="12">
        <f t="shared" si="57"/>
        <v>0</v>
      </c>
      <c r="Y144" s="12">
        <f t="shared" si="79"/>
        <v>0</v>
      </c>
      <c r="Z144" s="12">
        <f t="shared" si="80"/>
        <v>0</v>
      </c>
      <c r="AA144" s="14">
        <f t="shared" si="81"/>
        <v>0</v>
      </c>
      <c r="AB144" s="12">
        <f t="shared" si="82"/>
        <v>0</v>
      </c>
      <c r="AC144" s="15" t="b">
        <f>IF(OR(A144="",B144=""),FALSE,SubscribeQuotes(A144,B144))</f>
        <v>0</v>
      </c>
      <c r="AD144" s="13">
        <f t="shared" si="83"/>
        <v>0</v>
      </c>
    </row>
    <row r="145" spans="1:30">
      <c r="A145" s="9"/>
      <c r="B145" s="9"/>
      <c r="C145" s="10" t="str">
        <f t="shared" si="58"/>
        <v/>
      </c>
      <c r="D145" s="12">
        <f t="shared" si="59"/>
        <v>0</v>
      </c>
      <c r="E145" s="13">
        <f t="shared" si="60"/>
        <v>0</v>
      </c>
      <c r="F145" s="12">
        <f t="shared" si="61"/>
        <v>0</v>
      </c>
      <c r="G145" s="12">
        <f t="shared" si="62"/>
        <v>0</v>
      </c>
      <c r="H145" s="12">
        <f t="shared" si="63"/>
        <v>0</v>
      </c>
      <c r="I145" s="13">
        <f t="shared" si="64"/>
        <v>0</v>
      </c>
      <c r="J145" s="12">
        <f t="shared" si="65"/>
        <v>0</v>
      </c>
      <c r="K145" s="13">
        <f t="shared" si="66"/>
        <v>0</v>
      </c>
      <c r="L145" s="12">
        <f t="shared" si="67"/>
        <v>0</v>
      </c>
      <c r="M145" s="13">
        <f t="shared" si="68"/>
        <v>0</v>
      </c>
      <c r="N145" s="12">
        <f t="shared" si="69"/>
        <v>0</v>
      </c>
      <c r="O145" s="13">
        <f t="shared" si="70"/>
        <v>0</v>
      </c>
      <c r="P145" s="13">
        <f t="shared" si="71"/>
        <v>0</v>
      </c>
      <c r="Q145" s="13">
        <f t="shared" si="72"/>
        <v>0</v>
      </c>
      <c r="R145" s="12">
        <f t="shared" si="73"/>
        <v>0</v>
      </c>
      <c r="S145" s="12">
        <f t="shared" si="74"/>
        <v>0</v>
      </c>
      <c r="T145" s="12">
        <f t="shared" si="75"/>
        <v>0</v>
      </c>
      <c r="U145" s="12">
        <f t="shared" si="76"/>
        <v>0</v>
      </c>
      <c r="V145" s="13">
        <f t="shared" si="77"/>
        <v>0</v>
      </c>
      <c r="W145" s="12">
        <f t="shared" si="78"/>
        <v>0</v>
      </c>
      <c r="X145" s="12">
        <f t="shared" si="57"/>
        <v>0</v>
      </c>
      <c r="Y145" s="12">
        <f t="shared" si="79"/>
        <v>0</v>
      </c>
      <c r="Z145" s="12">
        <f t="shared" si="80"/>
        <v>0</v>
      </c>
      <c r="AA145" s="14">
        <f t="shared" si="81"/>
        <v>0</v>
      </c>
      <c r="AB145" s="12">
        <f t="shared" si="82"/>
        <v>0</v>
      </c>
      <c r="AC145" s="15" t="b">
        <f>IF(OR(A145="",B145=""),FALSE,SubscribeQuotes(A145,B145))</f>
        <v>0</v>
      </c>
      <c r="AD145" s="13">
        <f t="shared" si="83"/>
        <v>0</v>
      </c>
    </row>
    <row r="146" spans="1:30">
      <c r="A146" s="9"/>
      <c r="B146" s="9"/>
      <c r="C146" s="10" t="str">
        <f t="shared" si="58"/>
        <v/>
      </c>
      <c r="D146" s="12">
        <f t="shared" si="59"/>
        <v>0</v>
      </c>
      <c r="E146" s="13">
        <f t="shared" si="60"/>
        <v>0</v>
      </c>
      <c r="F146" s="12">
        <f t="shared" si="61"/>
        <v>0</v>
      </c>
      <c r="G146" s="12">
        <f t="shared" si="62"/>
        <v>0</v>
      </c>
      <c r="H146" s="12">
        <f t="shared" si="63"/>
        <v>0</v>
      </c>
      <c r="I146" s="13">
        <f t="shared" si="64"/>
        <v>0</v>
      </c>
      <c r="J146" s="12">
        <f t="shared" si="65"/>
        <v>0</v>
      </c>
      <c r="K146" s="13">
        <f t="shared" si="66"/>
        <v>0</v>
      </c>
      <c r="L146" s="12">
        <f t="shared" si="67"/>
        <v>0</v>
      </c>
      <c r="M146" s="13">
        <f t="shared" si="68"/>
        <v>0</v>
      </c>
      <c r="N146" s="12">
        <f t="shared" si="69"/>
        <v>0</v>
      </c>
      <c r="O146" s="13">
        <f t="shared" si="70"/>
        <v>0</v>
      </c>
      <c r="P146" s="13">
        <f t="shared" si="71"/>
        <v>0</v>
      </c>
      <c r="Q146" s="13">
        <f t="shared" si="72"/>
        <v>0</v>
      </c>
      <c r="R146" s="12">
        <f t="shared" si="73"/>
        <v>0</v>
      </c>
      <c r="S146" s="12">
        <f t="shared" si="74"/>
        <v>0</v>
      </c>
      <c r="T146" s="12">
        <f t="shared" si="75"/>
        <v>0</v>
      </c>
      <c r="U146" s="12">
        <f t="shared" si="76"/>
        <v>0</v>
      </c>
      <c r="V146" s="13">
        <f t="shared" si="77"/>
        <v>0</v>
      </c>
      <c r="W146" s="12">
        <f t="shared" si="78"/>
        <v>0</v>
      </c>
      <c r="X146" s="12">
        <f t="shared" si="57"/>
        <v>0</v>
      </c>
      <c r="Y146" s="12">
        <f t="shared" si="79"/>
        <v>0</v>
      </c>
      <c r="Z146" s="12">
        <f t="shared" si="80"/>
        <v>0</v>
      </c>
      <c r="AA146" s="14">
        <f t="shared" si="81"/>
        <v>0</v>
      </c>
      <c r="AB146" s="12">
        <f t="shared" si="82"/>
        <v>0</v>
      </c>
      <c r="AC146" s="15" t="b">
        <f>IF(OR(A146="",B146=""),FALSE,SubscribeQuotes(A146,B146))</f>
        <v>0</v>
      </c>
      <c r="AD146" s="13">
        <f t="shared" si="83"/>
        <v>0</v>
      </c>
    </row>
    <row r="147" spans="1:30">
      <c r="A147" s="9"/>
      <c r="B147" s="9"/>
      <c r="C147" s="10" t="str">
        <f t="shared" si="58"/>
        <v/>
      </c>
      <c r="D147" s="12">
        <f t="shared" si="59"/>
        <v>0</v>
      </c>
      <c r="E147" s="13">
        <f t="shared" si="60"/>
        <v>0</v>
      </c>
      <c r="F147" s="12">
        <f t="shared" si="61"/>
        <v>0</v>
      </c>
      <c r="G147" s="12">
        <f t="shared" si="62"/>
        <v>0</v>
      </c>
      <c r="H147" s="12">
        <f t="shared" si="63"/>
        <v>0</v>
      </c>
      <c r="I147" s="13">
        <f t="shared" si="64"/>
        <v>0</v>
      </c>
      <c r="J147" s="12">
        <f t="shared" si="65"/>
        <v>0</v>
      </c>
      <c r="K147" s="13">
        <f t="shared" si="66"/>
        <v>0</v>
      </c>
      <c r="L147" s="12">
        <f t="shared" si="67"/>
        <v>0</v>
      </c>
      <c r="M147" s="13">
        <f t="shared" si="68"/>
        <v>0</v>
      </c>
      <c r="N147" s="12">
        <f t="shared" si="69"/>
        <v>0</v>
      </c>
      <c r="O147" s="13">
        <f t="shared" si="70"/>
        <v>0</v>
      </c>
      <c r="P147" s="13">
        <f t="shared" si="71"/>
        <v>0</v>
      </c>
      <c r="Q147" s="13">
        <f t="shared" si="72"/>
        <v>0</v>
      </c>
      <c r="R147" s="12">
        <f t="shared" si="73"/>
        <v>0</v>
      </c>
      <c r="S147" s="12">
        <f t="shared" si="74"/>
        <v>0</v>
      </c>
      <c r="T147" s="12">
        <f t="shared" si="75"/>
        <v>0</v>
      </c>
      <c r="U147" s="12">
        <f t="shared" si="76"/>
        <v>0</v>
      </c>
      <c r="V147" s="13">
        <f t="shared" si="77"/>
        <v>0</v>
      </c>
      <c r="W147" s="12">
        <f t="shared" si="78"/>
        <v>0</v>
      </c>
      <c r="X147" s="12">
        <f t="shared" si="57"/>
        <v>0</v>
      </c>
      <c r="Y147" s="12">
        <f t="shared" si="79"/>
        <v>0</v>
      </c>
      <c r="Z147" s="12">
        <f t="shared" si="80"/>
        <v>0</v>
      </c>
      <c r="AA147" s="14">
        <f t="shared" si="81"/>
        <v>0</v>
      </c>
      <c r="AB147" s="12">
        <f t="shared" si="82"/>
        <v>0</v>
      </c>
      <c r="AC147" s="15" t="b">
        <f>IF(OR(A147="",B147=""),FALSE,SubscribeQuotes(A147,B147))</f>
        <v>0</v>
      </c>
      <c r="AD147" s="13">
        <f t="shared" si="83"/>
        <v>0</v>
      </c>
    </row>
    <row r="148" spans="1:30">
      <c r="A148" s="9"/>
      <c r="B148" s="9"/>
      <c r="C148" s="10" t="str">
        <f t="shared" si="58"/>
        <v/>
      </c>
      <c r="D148" s="12">
        <f t="shared" si="59"/>
        <v>0</v>
      </c>
      <c r="E148" s="13">
        <f t="shared" si="60"/>
        <v>0</v>
      </c>
      <c r="F148" s="12">
        <f t="shared" si="61"/>
        <v>0</v>
      </c>
      <c r="G148" s="12">
        <f t="shared" si="62"/>
        <v>0</v>
      </c>
      <c r="H148" s="12">
        <f t="shared" si="63"/>
        <v>0</v>
      </c>
      <c r="I148" s="13">
        <f t="shared" si="64"/>
        <v>0</v>
      </c>
      <c r="J148" s="12">
        <f t="shared" si="65"/>
        <v>0</v>
      </c>
      <c r="K148" s="13">
        <f t="shared" si="66"/>
        <v>0</v>
      </c>
      <c r="L148" s="12">
        <f t="shared" si="67"/>
        <v>0</v>
      </c>
      <c r="M148" s="13">
        <f t="shared" si="68"/>
        <v>0</v>
      </c>
      <c r="N148" s="12">
        <f t="shared" si="69"/>
        <v>0</v>
      </c>
      <c r="O148" s="13">
        <f t="shared" si="70"/>
        <v>0</v>
      </c>
      <c r="P148" s="13">
        <f t="shared" si="71"/>
        <v>0</v>
      </c>
      <c r="Q148" s="13">
        <f t="shared" si="72"/>
        <v>0</v>
      </c>
      <c r="R148" s="12">
        <f t="shared" si="73"/>
        <v>0</v>
      </c>
      <c r="S148" s="12">
        <f t="shared" si="74"/>
        <v>0</v>
      </c>
      <c r="T148" s="12">
        <f t="shared" si="75"/>
        <v>0</v>
      </c>
      <c r="U148" s="12">
        <f t="shared" si="76"/>
        <v>0</v>
      </c>
      <c r="V148" s="13">
        <f t="shared" si="77"/>
        <v>0</v>
      </c>
      <c r="W148" s="12">
        <f t="shared" si="78"/>
        <v>0</v>
      </c>
      <c r="X148" s="12">
        <f t="shared" si="57"/>
        <v>0</v>
      </c>
      <c r="Y148" s="12">
        <f t="shared" si="79"/>
        <v>0</v>
      </c>
      <c r="Z148" s="12">
        <f t="shared" si="80"/>
        <v>0</v>
      </c>
      <c r="AA148" s="14">
        <f t="shared" si="81"/>
        <v>0</v>
      </c>
      <c r="AB148" s="12">
        <f t="shared" si="82"/>
        <v>0</v>
      </c>
      <c r="AC148" s="15" t="b">
        <f>IF(OR(A148="",B148=""),FALSE,SubscribeQuotes(A148,B148))</f>
        <v>0</v>
      </c>
      <c r="AD148" s="13">
        <f t="shared" si="83"/>
        <v>0</v>
      </c>
    </row>
    <row r="149" spans="1:30">
      <c r="A149" s="9"/>
      <c r="B149" s="9"/>
      <c r="C149" s="10" t="str">
        <f t="shared" si="58"/>
        <v/>
      </c>
      <c r="D149" s="12">
        <f t="shared" si="59"/>
        <v>0</v>
      </c>
      <c r="E149" s="13">
        <f t="shared" si="60"/>
        <v>0</v>
      </c>
      <c r="F149" s="12">
        <f t="shared" si="61"/>
        <v>0</v>
      </c>
      <c r="G149" s="12">
        <f t="shared" si="62"/>
        <v>0</v>
      </c>
      <c r="H149" s="12">
        <f t="shared" si="63"/>
        <v>0</v>
      </c>
      <c r="I149" s="13">
        <f t="shared" si="64"/>
        <v>0</v>
      </c>
      <c r="J149" s="12">
        <f t="shared" si="65"/>
        <v>0</v>
      </c>
      <c r="K149" s="13">
        <f t="shared" si="66"/>
        <v>0</v>
      </c>
      <c r="L149" s="12">
        <f t="shared" si="67"/>
        <v>0</v>
      </c>
      <c r="M149" s="13">
        <f t="shared" si="68"/>
        <v>0</v>
      </c>
      <c r="N149" s="12">
        <f t="shared" si="69"/>
        <v>0</v>
      </c>
      <c r="O149" s="13">
        <f t="shared" si="70"/>
        <v>0</v>
      </c>
      <c r="P149" s="13">
        <f t="shared" si="71"/>
        <v>0</v>
      </c>
      <c r="Q149" s="13">
        <f t="shared" si="72"/>
        <v>0</v>
      </c>
      <c r="R149" s="12">
        <f t="shared" si="73"/>
        <v>0</v>
      </c>
      <c r="S149" s="12">
        <f t="shared" si="74"/>
        <v>0</v>
      </c>
      <c r="T149" s="12">
        <f t="shared" si="75"/>
        <v>0</v>
      </c>
      <c r="U149" s="12">
        <f t="shared" si="76"/>
        <v>0</v>
      </c>
      <c r="V149" s="13">
        <f t="shared" si="77"/>
        <v>0</v>
      </c>
      <c r="W149" s="12">
        <f t="shared" si="78"/>
        <v>0</v>
      </c>
      <c r="X149" s="12">
        <f t="shared" si="57"/>
        <v>0</v>
      </c>
      <c r="Y149" s="12">
        <f t="shared" si="79"/>
        <v>0</v>
      </c>
      <c r="Z149" s="12">
        <f t="shared" si="80"/>
        <v>0</v>
      </c>
      <c r="AA149" s="14">
        <f t="shared" si="81"/>
        <v>0</v>
      </c>
      <c r="AB149" s="12">
        <f t="shared" si="82"/>
        <v>0</v>
      </c>
      <c r="AC149" s="15" t="b">
        <f>IF(OR(A149="",B149=""),FALSE,SubscribeQuotes(A149,B149))</f>
        <v>0</v>
      </c>
      <c r="AD149" s="13">
        <f t="shared" si="83"/>
        <v>0</v>
      </c>
    </row>
    <row r="150" spans="1:30">
      <c r="A150" s="9"/>
      <c r="B150" s="9"/>
      <c r="C150" s="10" t="str">
        <f t="shared" si="58"/>
        <v/>
      </c>
      <c r="D150" s="12">
        <f t="shared" si="59"/>
        <v>0</v>
      </c>
      <c r="E150" s="13">
        <f t="shared" si="60"/>
        <v>0</v>
      </c>
      <c r="F150" s="12">
        <f t="shared" si="61"/>
        <v>0</v>
      </c>
      <c r="G150" s="12">
        <f t="shared" si="62"/>
        <v>0</v>
      </c>
      <c r="H150" s="12">
        <f t="shared" si="63"/>
        <v>0</v>
      </c>
      <c r="I150" s="13">
        <f t="shared" si="64"/>
        <v>0</v>
      </c>
      <c r="J150" s="12">
        <f t="shared" si="65"/>
        <v>0</v>
      </c>
      <c r="K150" s="13">
        <f t="shared" si="66"/>
        <v>0</v>
      </c>
      <c r="L150" s="12">
        <f t="shared" si="67"/>
        <v>0</v>
      </c>
      <c r="M150" s="13">
        <f t="shared" si="68"/>
        <v>0</v>
      </c>
      <c r="N150" s="12">
        <f t="shared" si="69"/>
        <v>0</v>
      </c>
      <c r="O150" s="13">
        <f t="shared" si="70"/>
        <v>0</v>
      </c>
      <c r="P150" s="13">
        <f t="shared" si="71"/>
        <v>0</v>
      </c>
      <c r="Q150" s="13">
        <f t="shared" si="72"/>
        <v>0</v>
      </c>
      <c r="R150" s="12">
        <f t="shared" si="73"/>
        <v>0</v>
      </c>
      <c r="S150" s="12">
        <f t="shared" si="74"/>
        <v>0</v>
      </c>
      <c r="T150" s="12">
        <f t="shared" si="75"/>
        <v>0</v>
      </c>
      <c r="U150" s="12">
        <f t="shared" si="76"/>
        <v>0</v>
      </c>
      <c r="V150" s="13">
        <f t="shared" si="77"/>
        <v>0</v>
      </c>
      <c r="W150" s="12">
        <f t="shared" si="78"/>
        <v>0</v>
      </c>
      <c r="X150" s="12">
        <f t="shared" si="57"/>
        <v>0</v>
      </c>
      <c r="Y150" s="12">
        <f t="shared" si="79"/>
        <v>0</v>
      </c>
      <c r="Z150" s="12">
        <f t="shared" si="80"/>
        <v>0</v>
      </c>
      <c r="AA150" s="14">
        <f t="shared" si="81"/>
        <v>0</v>
      </c>
      <c r="AB150" s="12">
        <f t="shared" si="82"/>
        <v>0</v>
      </c>
      <c r="AC150" s="15" t="b">
        <f>IF(OR(A150="",B150=""),FALSE,SubscribeQuotes(A150,B150))</f>
        <v>0</v>
      </c>
      <c r="AD150" s="13">
        <f t="shared" si="83"/>
        <v>0</v>
      </c>
    </row>
    <row r="151" spans="1:30">
      <c r="A151" s="9"/>
      <c r="B151" s="9"/>
      <c r="C151" s="10" t="str">
        <f t="shared" si="58"/>
        <v/>
      </c>
      <c r="D151" s="12">
        <f t="shared" si="59"/>
        <v>0</v>
      </c>
      <c r="E151" s="13">
        <f t="shared" si="60"/>
        <v>0</v>
      </c>
      <c r="F151" s="12">
        <f t="shared" si="61"/>
        <v>0</v>
      </c>
      <c r="G151" s="12">
        <f t="shared" si="62"/>
        <v>0</v>
      </c>
      <c r="H151" s="12">
        <f t="shared" si="63"/>
        <v>0</v>
      </c>
      <c r="I151" s="13">
        <f t="shared" si="64"/>
        <v>0</v>
      </c>
      <c r="J151" s="12">
        <f t="shared" si="65"/>
        <v>0</v>
      </c>
      <c r="K151" s="13">
        <f t="shared" si="66"/>
        <v>0</v>
      </c>
      <c r="L151" s="12">
        <f t="shared" si="67"/>
        <v>0</v>
      </c>
      <c r="M151" s="13">
        <f t="shared" si="68"/>
        <v>0</v>
      </c>
      <c r="N151" s="12">
        <f t="shared" si="69"/>
        <v>0</v>
      </c>
      <c r="O151" s="13">
        <f t="shared" si="70"/>
        <v>0</v>
      </c>
      <c r="P151" s="13">
        <f t="shared" si="71"/>
        <v>0</v>
      </c>
      <c r="Q151" s="13">
        <f t="shared" si="72"/>
        <v>0</v>
      </c>
      <c r="R151" s="12">
        <f t="shared" si="73"/>
        <v>0</v>
      </c>
      <c r="S151" s="12">
        <f t="shared" si="74"/>
        <v>0</v>
      </c>
      <c r="T151" s="12">
        <f t="shared" si="75"/>
        <v>0</v>
      </c>
      <c r="U151" s="12">
        <f t="shared" si="76"/>
        <v>0</v>
      </c>
      <c r="V151" s="13">
        <f t="shared" si="77"/>
        <v>0</v>
      </c>
      <c r="W151" s="12">
        <f t="shared" si="78"/>
        <v>0</v>
      </c>
      <c r="X151" s="12">
        <f t="shared" si="57"/>
        <v>0</v>
      </c>
      <c r="Y151" s="12">
        <f t="shared" si="79"/>
        <v>0</v>
      </c>
      <c r="Z151" s="12">
        <f t="shared" si="80"/>
        <v>0</v>
      </c>
      <c r="AA151" s="14">
        <f t="shared" si="81"/>
        <v>0</v>
      </c>
      <c r="AB151" s="12">
        <f t="shared" si="82"/>
        <v>0</v>
      </c>
      <c r="AC151" s="15" t="b">
        <f>IF(OR(A151="",B151=""),FALSE,SubscribeQuotes(A151,B151))</f>
        <v>0</v>
      </c>
      <c r="AD151" s="13">
        <f t="shared" si="83"/>
        <v>0</v>
      </c>
    </row>
    <row r="152" spans="1:30">
      <c r="A152" s="9"/>
      <c r="B152" s="9"/>
      <c r="C152" s="10" t="str">
        <f t="shared" si="58"/>
        <v/>
      </c>
      <c r="D152" s="12">
        <f t="shared" si="59"/>
        <v>0</v>
      </c>
      <c r="E152" s="13">
        <f t="shared" si="60"/>
        <v>0</v>
      </c>
      <c r="F152" s="12">
        <f t="shared" si="61"/>
        <v>0</v>
      </c>
      <c r="G152" s="12">
        <f t="shared" si="62"/>
        <v>0</v>
      </c>
      <c r="H152" s="12">
        <f t="shared" si="63"/>
        <v>0</v>
      </c>
      <c r="I152" s="13">
        <f t="shared" si="64"/>
        <v>0</v>
      </c>
      <c r="J152" s="12">
        <f t="shared" si="65"/>
        <v>0</v>
      </c>
      <c r="K152" s="13">
        <f t="shared" si="66"/>
        <v>0</v>
      </c>
      <c r="L152" s="12">
        <f t="shared" si="67"/>
        <v>0</v>
      </c>
      <c r="M152" s="13">
        <f t="shared" si="68"/>
        <v>0</v>
      </c>
      <c r="N152" s="12">
        <f t="shared" si="69"/>
        <v>0</v>
      </c>
      <c r="O152" s="13">
        <f t="shared" si="70"/>
        <v>0</v>
      </c>
      <c r="P152" s="13">
        <f t="shared" si="71"/>
        <v>0</v>
      </c>
      <c r="Q152" s="13">
        <f t="shared" si="72"/>
        <v>0</v>
      </c>
      <c r="R152" s="12">
        <f t="shared" si="73"/>
        <v>0</v>
      </c>
      <c r="S152" s="12">
        <f t="shared" si="74"/>
        <v>0</v>
      </c>
      <c r="T152" s="12">
        <f t="shared" si="75"/>
        <v>0</v>
      </c>
      <c r="U152" s="12">
        <f t="shared" si="76"/>
        <v>0</v>
      </c>
      <c r="V152" s="13">
        <f t="shared" si="77"/>
        <v>0</v>
      </c>
      <c r="W152" s="12">
        <f t="shared" si="78"/>
        <v>0</v>
      </c>
      <c r="X152" s="12">
        <f t="shared" si="57"/>
        <v>0</v>
      </c>
      <c r="Y152" s="12">
        <f t="shared" si="79"/>
        <v>0</v>
      </c>
      <c r="Z152" s="12">
        <f t="shared" si="80"/>
        <v>0</v>
      </c>
      <c r="AA152" s="14">
        <f t="shared" si="81"/>
        <v>0</v>
      </c>
      <c r="AB152" s="12">
        <f t="shared" si="82"/>
        <v>0</v>
      </c>
      <c r="AC152" s="15" t="b">
        <f>IF(OR(A152="",B152=""),FALSE,SubscribeQuotes(A152,B152))</f>
        <v>0</v>
      </c>
      <c r="AD152" s="13">
        <f t="shared" si="83"/>
        <v>0</v>
      </c>
    </row>
    <row r="153" spans="1:30">
      <c r="A153" s="9"/>
      <c r="B153" s="9"/>
      <c r="C153" s="10" t="str">
        <f t="shared" si="58"/>
        <v/>
      </c>
      <c r="D153" s="12">
        <f t="shared" si="59"/>
        <v>0</v>
      </c>
      <c r="E153" s="13">
        <f t="shared" si="60"/>
        <v>0</v>
      </c>
      <c r="F153" s="12">
        <f t="shared" si="61"/>
        <v>0</v>
      </c>
      <c r="G153" s="12">
        <f t="shared" si="62"/>
        <v>0</v>
      </c>
      <c r="H153" s="12">
        <f t="shared" si="63"/>
        <v>0</v>
      </c>
      <c r="I153" s="13">
        <f t="shared" si="64"/>
        <v>0</v>
      </c>
      <c r="J153" s="12">
        <f t="shared" si="65"/>
        <v>0</v>
      </c>
      <c r="K153" s="13">
        <f t="shared" si="66"/>
        <v>0</v>
      </c>
      <c r="L153" s="12">
        <f t="shared" si="67"/>
        <v>0</v>
      </c>
      <c r="M153" s="13">
        <f t="shared" si="68"/>
        <v>0</v>
      </c>
      <c r="N153" s="12">
        <f t="shared" si="69"/>
        <v>0</v>
      </c>
      <c r="O153" s="13">
        <f t="shared" si="70"/>
        <v>0</v>
      </c>
      <c r="P153" s="13">
        <f t="shared" si="71"/>
        <v>0</v>
      </c>
      <c r="Q153" s="13">
        <f t="shared" si="72"/>
        <v>0</v>
      </c>
      <c r="R153" s="12">
        <f t="shared" si="73"/>
        <v>0</v>
      </c>
      <c r="S153" s="12">
        <f t="shared" si="74"/>
        <v>0</v>
      </c>
      <c r="T153" s="12">
        <f t="shared" si="75"/>
        <v>0</v>
      </c>
      <c r="U153" s="12">
        <f t="shared" si="76"/>
        <v>0</v>
      </c>
      <c r="V153" s="13">
        <f t="shared" si="77"/>
        <v>0</v>
      </c>
      <c r="W153" s="12">
        <f t="shared" si="78"/>
        <v>0</v>
      </c>
      <c r="X153" s="12">
        <f t="shared" si="57"/>
        <v>0</v>
      </c>
      <c r="Y153" s="12">
        <f t="shared" si="79"/>
        <v>0</v>
      </c>
      <c r="Z153" s="12">
        <f t="shared" si="80"/>
        <v>0</v>
      </c>
      <c r="AA153" s="14">
        <f t="shared" si="81"/>
        <v>0</v>
      </c>
      <c r="AB153" s="12">
        <f t="shared" si="82"/>
        <v>0</v>
      </c>
      <c r="AC153" s="15" t="b">
        <f>IF(OR(A153="",B153=""),FALSE,SubscribeQuotes(A153,B153))</f>
        <v>0</v>
      </c>
      <c r="AD153" s="13">
        <f t="shared" si="83"/>
        <v>0</v>
      </c>
    </row>
    <row r="154" spans="1:30">
      <c r="A154" s="9"/>
      <c r="B154" s="9"/>
      <c r="C154" s="10" t="str">
        <f t="shared" si="58"/>
        <v/>
      </c>
      <c r="D154" s="12">
        <f t="shared" si="59"/>
        <v>0</v>
      </c>
      <c r="E154" s="13">
        <f t="shared" si="60"/>
        <v>0</v>
      </c>
      <c r="F154" s="12">
        <f t="shared" si="61"/>
        <v>0</v>
      </c>
      <c r="G154" s="12">
        <f t="shared" si="62"/>
        <v>0</v>
      </c>
      <c r="H154" s="12">
        <f t="shared" si="63"/>
        <v>0</v>
      </c>
      <c r="I154" s="13">
        <f t="shared" si="64"/>
        <v>0</v>
      </c>
      <c r="J154" s="12">
        <f t="shared" si="65"/>
        <v>0</v>
      </c>
      <c r="K154" s="13">
        <f t="shared" si="66"/>
        <v>0</v>
      </c>
      <c r="L154" s="12">
        <f t="shared" si="67"/>
        <v>0</v>
      </c>
      <c r="M154" s="13">
        <f t="shared" si="68"/>
        <v>0</v>
      </c>
      <c r="N154" s="12">
        <f t="shared" si="69"/>
        <v>0</v>
      </c>
      <c r="O154" s="13">
        <f t="shared" si="70"/>
        <v>0</v>
      </c>
      <c r="P154" s="13">
        <f t="shared" si="71"/>
        <v>0</v>
      </c>
      <c r="Q154" s="13">
        <f t="shared" si="72"/>
        <v>0</v>
      </c>
      <c r="R154" s="12">
        <f t="shared" si="73"/>
        <v>0</v>
      </c>
      <c r="S154" s="12">
        <f t="shared" si="74"/>
        <v>0</v>
      </c>
      <c r="T154" s="12">
        <f t="shared" si="75"/>
        <v>0</v>
      </c>
      <c r="U154" s="12">
        <f t="shared" si="76"/>
        <v>0</v>
      </c>
      <c r="V154" s="13">
        <f t="shared" si="77"/>
        <v>0</v>
      </c>
      <c r="W154" s="12">
        <f t="shared" si="78"/>
        <v>0</v>
      </c>
      <c r="X154" s="12">
        <f t="shared" si="57"/>
        <v>0</v>
      </c>
      <c r="Y154" s="12">
        <f t="shared" si="79"/>
        <v>0</v>
      </c>
      <c r="Z154" s="12">
        <f t="shared" si="80"/>
        <v>0</v>
      </c>
      <c r="AA154" s="14">
        <f t="shared" si="81"/>
        <v>0</v>
      </c>
      <c r="AB154" s="12">
        <f t="shared" si="82"/>
        <v>0</v>
      </c>
      <c r="AC154" s="15" t="b">
        <f>IF(OR(A154="",B154=""),FALSE,SubscribeQuotes(A154,B154))</f>
        <v>0</v>
      </c>
      <c r="AD154" s="13">
        <f t="shared" si="83"/>
        <v>0</v>
      </c>
    </row>
    <row r="155" spans="1:30">
      <c r="A155" s="9"/>
      <c r="B155" s="9"/>
      <c r="C155" s="10" t="str">
        <f t="shared" si="58"/>
        <v/>
      </c>
      <c r="D155" s="12">
        <f t="shared" si="59"/>
        <v>0</v>
      </c>
      <c r="E155" s="13">
        <f t="shared" si="60"/>
        <v>0</v>
      </c>
      <c r="F155" s="12">
        <f t="shared" si="61"/>
        <v>0</v>
      </c>
      <c r="G155" s="12">
        <f t="shared" si="62"/>
        <v>0</v>
      </c>
      <c r="H155" s="12">
        <f t="shared" si="63"/>
        <v>0</v>
      </c>
      <c r="I155" s="13">
        <f t="shared" si="64"/>
        <v>0</v>
      </c>
      <c r="J155" s="12">
        <f t="shared" si="65"/>
        <v>0</v>
      </c>
      <c r="K155" s="13">
        <f t="shared" si="66"/>
        <v>0</v>
      </c>
      <c r="L155" s="12">
        <f t="shared" si="67"/>
        <v>0</v>
      </c>
      <c r="M155" s="13">
        <f t="shared" si="68"/>
        <v>0</v>
      </c>
      <c r="N155" s="12">
        <f t="shared" si="69"/>
        <v>0</v>
      </c>
      <c r="O155" s="13">
        <f t="shared" si="70"/>
        <v>0</v>
      </c>
      <c r="P155" s="13">
        <f t="shared" si="71"/>
        <v>0</v>
      </c>
      <c r="Q155" s="13">
        <f t="shared" si="72"/>
        <v>0</v>
      </c>
      <c r="R155" s="12">
        <f t="shared" si="73"/>
        <v>0</v>
      </c>
      <c r="S155" s="12">
        <f t="shared" si="74"/>
        <v>0</v>
      </c>
      <c r="T155" s="12">
        <f t="shared" si="75"/>
        <v>0</v>
      </c>
      <c r="U155" s="12">
        <f t="shared" si="76"/>
        <v>0</v>
      </c>
      <c r="V155" s="13">
        <f t="shared" si="77"/>
        <v>0</v>
      </c>
      <c r="W155" s="12">
        <f t="shared" si="78"/>
        <v>0</v>
      </c>
      <c r="X155" s="12">
        <f t="shared" si="57"/>
        <v>0</v>
      </c>
      <c r="Y155" s="12">
        <f t="shared" si="79"/>
        <v>0</v>
      </c>
      <c r="Z155" s="12">
        <f t="shared" si="80"/>
        <v>0</v>
      </c>
      <c r="AA155" s="14">
        <f t="shared" si="81"/>
        <v>0</v>
      </c>
      <c r="AB155" s="12">
        <f t="shared" si="82"/>
        <v>0</v>
      </c>
      <c r="AC155" s="15" t="b">
        <f>IF(OR(A155="",B155=""),FALSE,SubscribeQuotes(A155,B155))</f>
        <v>0</v>
      </c>
      <c r="AD155" s="13">
        <f t="shared" si="83"/>
        <v>0</v>
      </c>
    </row>
    <row r="156" spans="1:30">
      <c r="A156" s="9"/>
      <c r="B156" s="9"/>
      <c r="C156" s="10" t="str">
        <f t="shared" si="58"/>
        <v/>
      </c>
      <c r="D156" s="12">
        <f t="shared" si="59"/>
        <v>0</v>
      </c>
      <c r="E156" s="13">
        <f t="shared" si="60"/>
        <v>0</v>
      </c>
      <c r="F156" s="12">
        <f t="shared" si="61"/>
        <v>0</v>
      </c>
      <c r="G156" s="12">
        <f t="shared" si="62"/>
        <v>0</v>
      </c>
      <c r="H156" s="12">
        <f t="shared" si="63"/>
        <v>0</v>
      </c>
      <c r="I156" s="13">
        <f t="shared" si="64"/>
        <v>0</v>
      </c>
      <c r="J156" s="12">
        <f t="shared" si="65"/>
        <v>0</v>
      </c>
      <c r="K156" s="13">
        <f t="shared" si="66"/>
        <v>0</v>
      </c>
      <c r="L156" s="12">
        <f t="shared" si="67"/>
        <v>0</v>
      </c>
      <c r="M156" s="13">
        <f t="shared" si="68"/>
        <v>0</v>
      </c>
      <c r="N156" s="12">
        <f t="shared" si="69"/>
        <v>0</v>
      </c>
      <c r="O156" s="13">
        <f t="shared" si="70"/>
        <v>0</v>
      </c>
      <c r="P156" s="13">
        <f t="shared" si="71"/>
        <v>0</v>
      </c>
      <c r="Q156" s="13">
        <f t="shared" si="72"/>
        <v>0</v>
      </c>
      <c r="R156" s="12">
        <f t="shared" si="73"/>
        <v>0</v>
      </c>
      <c r="S156" s="12">
        <f t="shared" si="74"/>
        <v>0</v>
      </c>
      <c r="T156" s="12">
        <f t="shared" si="75"/>
        <v>0</v>
      </c>
      <c r="U156" s="12">
        <f t="shared" si="76"/>
        <v>0</v>
      </c>
      <c r="V156" s="13">
        <f t="shared" si="77"/>
        <v>0</v>
      </c>
      <c r="W156" s="12">
        <f t="shared" si="78"/>
        <v>0</v>
      </c>
      <c r="X156" s="12">
        <f t="shared" si="57"/>
        <v>0</v>
      </c>
      <c r="Y156" s="12">
        <f t="shared" si="79"/>
        <v>0</v>
      </c>
      <c r="Z156" s="12">
        <f t="shared" si="80"/>
        <v>0</v>
      </c>
      <c r="AA156" s="14">
        <f t="shared" si="81"/>
        <v>0</v>
      </c>
      <c r="AB156" s="12">
        <f t="shared" si="82"/>
        <v>0</v>
      </c>
      <c r="AC156" s="15" t="b">
        <f>IF(OR(A156="",B156=""),FALSE,SubscribeQuotes(A156,B156))</f>
        <v>0</v>
      </c>
      <c r="AD156" s="13">
        <f t="shared" si="83"/>
        <v>0</v>
      </c>
    </row>
    <row r="157" spans="1:30">
      <c r="A157" s="9"/>
      <c r="B157" s="9"/>
      <c r="C157" s="10" t="str">
        <f t="shared" si="58"/>
        <v/>
      </c>
      <c r="D157" s="12">
        <f t="shared" si="59"/>
        <v>0</v>
      </c>
      <c r="E157" s="13">
        <f t="shared" si="60"/>
        <v>0</v>
      </c>
      <c r="F157" s="12">
        <f t="shared" si="61"/>
        <v>0</v>
      </c>
      <c r="G157" s="12">
        <f t="shared" si="62"/>
        <v>0</v>
      </c>
      <c r="H157" s="12">
        <f t="shared" si="63"/>
        <v>0</v>
      </c>
      <c r="I157" s="13">
        <f t="shared" si="64"/>
        <v>0</v>
      </c>
      <c r="J157" s="12">
        <f t="shared" si="65"/>
        <v>0</v>
      </c>
      <c r="K157" s="13">
        <f t="shared" si="66"/>
        <v>0</v>
      </c>
      <c r="L157" s="12">
        <f t="shared" si="67"/>
        <v>0</v>
      </c>
      <c r="M157" s="13">
        <f t="shared" si="68"/>
        <v>0</v>
      </c>
      <c r="N157" s="12">
        <f t="shared" si="69"/>
        <v>0</v>
      </c>
      <c r="O157" s="13">
        <f t="shared" si="70"/>
        <v>0</v>
      </c>
      <c r="P157" s="13">
        <f t="shared" si="71"/>
        <v>0</v>
      </c>
      <c r="Q157" s="13">
        <f t="shared" si="72"/>
        <v>0</v>
      </c>
      <c r="R157" s="12">
        <f t="shared" si="73"/>
        <v>0</v>
      </c>
      <c r="S157" s="12">
        <f t="shared" si="74"/>
        <v>0</v>
      </c>
      <c r="T157" s="12">
        <f t="shared" si="75"/>
        <v>0</v>
      </c>
      <c r="U157" s="12">
        <f t="shared" si="76"/>
        <v>0</v>
      </c>
      <c r="V157" s="13">
        <f t="shared" si="77"/>
        <v>0</v>
      </c>
      <c r="W157" s="12">
        <f t="shared" si="78"/>
        <v>0</v>
      </c>
      <c r="X157" s="12">
        <f t="shared" si="57"/>
        <v>0</v>
      </c>
      <c r="Y157" s="12">
        <f t="shared" si="79"/>
        <v>0</v>
      </c>
      <c r="Z157" s="12">
        <f t="shared" si="80"/>
        <v>0</v>
      </c>
      <c r="AA157" s="14">
        <f t="shared" si="81"/>
        <v>0</v>
      </c>
      <c r="AB157" s="12">
        <f t="shared" si="82"/>
        <v>0</v>
      </c>
      <c r="AC157" s="15" t="b">
        <f>IF(OR(A157="",B157=""),FALSE,SubscribeQuotes(A157,B157))</f>
        <v>0</v>
      </c>
      <c r="AD157" s="13">
        <f t="shared" si="83"/>
        <v>0</v>
      </c>
    </row>
    <row r="158" spans="1:30">
      <c r="A158" s="9"/>
      <c r="B158" s="9"/>
      <c r="C158" s="10" t="str">
        <f t="shared" si="58"/>
        <v/>
      </c>
      <c r="D158" s="12">
        <f t="shared" si="59"/>
        <v>0</v>
      </c>
      <c r="E158" s="13">
        <f t="shared" si="60"/>
        <v>0</v>
      </c>
      <c r="F158" s="12">
        <f t="shared" si="61"/>
        <v>0</v>
      </c>
      <c r="G158" s="12">
        <f t="shared" si="62"/>
        <v>0</v>
      </c>
      <c r="H158" s="12">
        <f t="shared" si="63"/>
        <v>0</v>
      </c>
      <c r="I158" s="13">
        <f t="shared" si="64"/>
        <v>0</v>
      </c>
      <c r="J158" s="12">
        <f t="shared" si="65"/>
        <v>0</v>
      </c>
      <c r="K158" s="13">
        <f t="shared" si="66"/>
        <v>0</v>
      </c>
      <c r="L158" s="12">
        <f t="shared" si="67"/>
        <v>0</v>
      </c>
      <c r="M158" s="13">
        <f t="shared" si="68"/>
        <v>0</v>
      </c>
      <c r="N158" s="12">
        <f t="shared" si="69"/>
        <v>0</v>
      </c>
      <c r="O158" s="13">
        <f t="shared" si="70"/>
        <v>0</v>
      </c>
      <c r="P158" s="13">
        <f t="shared" si="71"/>
        <v>0</v>
      </c>
      <c r="Q158" s="13">
        <f t="shared" si="72"/>
        <v>0</v>
      </c>
      <c r="R158" s="12">
        <f t="shared" si="73"/>
        <v>0</v>
      </c>
      <c r="S158" s="12">
        <f t="shared" si="74"/>
        <v>0</v>
      </c>
      <c r="T158" s="12">
        <f t="shared" si="75"/>
        <v>0</v>
      </c>
      <c r="U158" s="12">
        <f t="shared" si="76"/>
        <v>0</v>
      </c>
      <c r="V158" s="13">
        <f t="shared" si="77"/>
        <v>0</v>
      </c>
      <c r="W158" s="12">
        <f t="shared" si="78"/>
        <v>0</v>
      </c>
      <c r="X158" s="12">
        <f t="shared" si="57"/>
        <v>0</v>
      </c>
      <c r="Y158" s="12">
        <f t="shared" si="79"/>
        <v>0</v>
      </c>
      <c r="Z158" s="12">
        <f t="shared" si="80"/>
        <v>0</v>
      </c>
      <c r="AA158" s="14">
        <f t="shared" si="81"/>
        <v>0</v>
      </c>
      <c r="AB158" s="12">
        <f t="shared" si="82"/>
        <v>0</v>
      </c>
      <c r="AC158" s="15" t="b">
        <f>IF(OR(A158="",B158=""),FALSE,SubscribeQuotes(A158,B158))</f>
        <v>0</v>
      </c>
      <c r="AD158" s="13">
        <f t="shared" si="83"/>
        <v>0</v>
      </c>
    </row>
    <row r="159" spans="1:30">
      <c r="A159" s="9"/>
      <c r="B159" s="9"/>
      <c r="C159" s="10" t="str">
        <f t="shared" si="58"/>
        <v/>
      </c>
      <c r="D159" s="12">
        <f t="shared" si="59"/>
        <v>0</v>
      </c>
      <c r="E159" s="13">
        <f t="shared" si="60"/>
        <v>0</v>
      </c>
      <c r="F159" s="12">
        <f t="shared" si="61"/>
        <v>0</v>
      </c>
      <c r="G159" s="12">
        <f t="shared" si="62"/>
        <v>0</v>
      </c>
      <c r="H159" s="12">
        <f t="shared" si="63"/>
        <v>0</v>
      </c>
      <c r="I159" s="13">
        <f t="shared" si="64"/>
        <v>0</v>
      </c>
      <c r="J159" s="12">
        <f t="shared" si="65"/>
        <v>0</v>
      </c>
      <c r="K159" s="13">
        <f t="shared" si="66"/>
        <v>0</v>
      </c>
      <c r="L159" s="12">
        <f t="shared" si="67"/>
        <v>0</v>
      </c>
      <c r="M159" s="13">
        <f t="shared" si="68"/>
        <v>0</v>
      </c>
      <c r="N159" s="12">
        <f t="shared" si="69"/>
        <v>0</v>
      </c>
      <c r="O159" s="13">
        <f t="shared" si="70"/>
        <v>0</v>
      </c>
      <c r="P159" s="13">
        <f t="shared" si="71"/>
        <v>0</v>
      </c>
      <c r="Q159" s="13">
        <f t="shared" si="72"/>
        <v>0</v>
      </c>
      <c r="R159" s="12">
        <f t="shared" si="73"/>
        <v>0</v>
      </c>
      <c r="S159" s="12">
        <f t="shared" si="74"/>
        <v>0</v>
      </c>
      <c r="T159" s="12">
        <f t="shared" si="75"/>
        <v>0</v>
      </c>
      <c r="U159" s="12">
        <f t="shared" si="76"/>
        <v>0</v>
      </c>
      <c r="V159" s="13">
        <f t="shared" si="77"/>
        <v>0</v>
      </c>
      <c r="W159" s="12">
        <f t="shared" si="78"/>
        <v>0</v>
      </c>
      <c r="X159" s="12">
        <f t="shared" si="57"/>
        <v>0</v>
      </c>
      <c r="Y159" s="12">
        <f t="shared" si="79"/>
        <v>0</v>
      </c>
      <c r="Z159" s="12">
        <f t="shared" si="80"/>
        <v>0</v>
      </c>
      <c r="AA159" s="14">
        <f t="shared" si="81"/>
        <v>0</v>
      </c>
      <c r="AB159" s="12">
        <f t="shared" si="82"/>
        <v>0</v>
      </c>
      <c r="AC159" s="15" t="b">
        <f>IF(OR(A159="",B159=""),FALSE,SubscribeQuotes(A159,B159))</f>
        <v>0</v>
      </c>
      <c r="AD159" s="13">
        <f t="shared" si="83"/>
        <v>0</v>
      </c>
    </row>
    <row r="160" spans="1:30">
      <c r="A160" s="9"/>
      <c r="B160" s="9"/>
      <c r="C160" s="10" t="str">
        <f t="shared" si="58"/>
        <v/>
      </c>
      <c r="D160" s="12">
        <f t="shared" si="59"/>
        <v>0</v>
      </c>
      <c r="E160" s="13">
        <f t="shared" si="60"/>
        <v>0</v>
      </c>
      <c r="F160" s="12">
        <f t="shared" si="61"/>
        <v>0</v>
      </c>
      <c r="G160" s="12">
        <f t="shared" si="62"/>
        <v>0</v>
      </c>
      <c r="H160" s="12">
        <f t="shared" si="63"/>
        <v>0</v>
      </c>
      <c r="I160" s="13">
        <f t="shared" si="64"/>
        <v>0</v>
      </c>
      <c r="J160" s="12">
        <f t="shared" si="65"/>
        <v>0</v>
      </c>
      <c r="K160" s="13">
        <f t="shared" si="66"/>
        <v>0</v>
      </c>
      <c r="L160" s="12">
        <f t="shared" si="67"/>
        <v>0</v>
      </c>
      <c r="M160" s="13">
        <f t="shared" si="68"/>
        <v>0</v>
      </c>
      <c r="N160" s="12">
        <f t="shared" si="69"/>
        <v>0</v>
      </c>
      <c r="O160" s="13">
        <f t="shared" si="70"/>
        <v>0</v>
      </c>
      <c r="P160" s="13">
        <f t="shared" si="71"/>
        <v>0</v>
      </c>
      <c r="Q160" s="13">
        <f t="shared" si="72"/>
        <v>0</v>
      </c>
      <c r="R160" s="12">
        <f t="shared" si="73"/>
        <v>0</v>
      </c>
      <c r="S160" s="12">
        <f t="shared" si="74"/>
        <v>0</v>
      </c>
      <c r="T160" s="12">
        <f t="shared" si="75"/>
        <v>0</v>
      </c>
      <c r="U160" s="12">
        <f t="shared" si="76"/>
        <v>0</v>
      </c>
      <c r="V160" s="13">
        <f t="shared" si="77"/>
        <v>0</v>
      </c>
      <c r="W160" s="12">
        <f t="shared" si="78"/>
        <v>0</v>
      </c>
      <c r="X160" s="12">
        <f t="shared" si="57"/>
        <v>0</v>
      </c>
      <c r="Y160" s="12">
        <f t="shared" si="79"/>
        <v>0</v>
      </c>
      <c r="Z160" s="12">
        <f t="shared" si="80"/>
        <v>0</v>
      </c>
      <c r="AA160" s="14">
        <f t="shared" si="81"/>
        <v>0</v>
      </c>
      <c r="AB160" s="12">
        <f t="shared" si="82"/>
        <v>0</v>
      </c>
      <c r="AC160" s="15" t="b">
        <f>IF(OR(A160="",B160=""),FALSE,SubscribeQuotes(A160,B160))</f>
        <v>0</v>
      </c>
      <c r="AD160" s="13">
        <f t="shared" si="83"/>
        <v>0</v>
      </c>
    </row>
    <row r="161" spans="1:30">
      <c r="A161" s="9"/>
      <c r="B161" s="9"/>
      <c r="C161" s="10" t="str">
        <f t="shared" si="58"/>
        <v/>
      </c>
      <c r="D161" s="12">
        <f t="shared" si="59"/>
        <v>0</v>
      </c>
      <c r="E161" s="13">
        <f t="shared" si="60"/>
        <v>0</v>
      </c>
      <c r="F161" s="12">
        <f t="shared" si="61"/>
        <v>0</v>
      </c>
      <c r="G161" s="12">
        <f t="shared" si="62"/>
        <v>0</v>
      </c>
      <c r="H161" s="12">
        <f t="shared" si="63"/>
        <v>0</v>
      </c>
      <c r="I161" s="13">
        <f t="shared" si="64"/>
        <v>0</v>
      </c>
      <c r="J161" s="12">
        <f t="shared" si="65"/>
        <v>0</v>
      </c>
      <c r="K161" s="13">
        <f t="shared" si="66"/>
        <v>0</v>
      </c>
      <c r="L161" s="12">
        <f t="shared" si="67"/>
        <v>0</v>
      </c>
      <c r="M161" s="13">
        <f t="shared" si="68"/>
        <v>0</v>
      </c>
      <c r="N161" s="12">
        <f t="shared" si="69"/>
        <v>0</v>
      </c>
      <c r="O161" s="13">
        <f t="shared" si="70"/>
        <v>0</v>
      </c>
      <c r="P161" s="13">
        <f t="shared" si="71"/>
        <v>0</v>
      </c>
      <c r="Q161" s="13">
        <f t="shared" si="72"/>
        <v>0</v>
      </c>
      <c r="R161" s="12">
        <f t="shared" si="73"/>
        <v>0</v>
      </c>
      <c r="S161" s="12">
        <f t="shared" si="74"/>
        <v>0</v>
      </c>
      <c r="T161" s="12">
        <f t="shared" si="75"/>
        <v>0</v>
      </c>
      <c r="U161" s="12">
        <f t="shared" si="76"/>
        <v>0</v>
      </c>
      <c r="V161" s="13">
        <f t="shared" si="77"/>
        <v>0</v>
      </c>
      <c r="W161" s="12">
        <f t="shared" si="78"/>
        <v>0</v>
      </c>
      <c r="X161" s="12">
        <f t="shared" si="57"/>
        <v>0</v>
      </c>
      <c r="Y161" s="12">
        <f t="shared" si="79"/>
        <v>0</v>
      </c>
      <c r="Z161" s="12">
        <f t="shared" si="80"/>
        <v>0</v>
      </c>
      <c r="AA161" s="14">
        <f t="shared" si="81"/>
        <v>0</v>
      </c>
      <c r="AB161" s="12">
        <f t="shared" si="82"/>
        <v>0</v>
      </c>
      <c r="AC161" s="15" t="b">
        <f>IF(OR(A161="",B161=""),FALSE,SubscribeQuotes(A161,B161))</f>
        <v>0</v>
      </c>
      <c r="AD161" s="13">
        <f t="shared" si="83"/>
        <v>0</v>
      </c>
    </row>
    <row r="162" spans="1:30">
      <c r="A162" s="9"/>
      <c r="B162" s="9"/>
      <c r="C162" s="10" t="str">
        <f t="shared" si="58"/>
        <v/>
      </c>
      <c r="D162" s="12">
        <f t="shared" si="59"/>
        <v>0</v>
      </c>
      <c r="E162" s="13">
        <f t="shared" si="60"/>
        <v>0</v>
      </c>
      <c r="F162" s="12">
        <f t="shared" si="61"/>
        <v>0</v>
      </c>
      <c r="G162" s="12">
        <f t="shared" si="62"/>
        <v>0</v>
      </c>
      <c r="H162" s="12">
        <f t="shared" si="63"/>
        <v>0</v>
      </c>
      <c r="I162" s="13">
        <f t="shared" si="64"/>
        <v>0</v>
      </c>
      <c r="J162" s="12">
        <f t="shared" si="65"/>
        <v>0</v>
      </c>
      <c r="K162" s="13">
        <f t="shared" si="66"/>
        <v>0</v>
      </c>
      <c r="L162" s="12">
        <f t="shared" si="67"/>
        <v>0</v>
      </c>
      <c r="M162" s="13">
        <f t="shared" si="68"/>
        <v>0</v>
      </c>
      <c r="N162" s="12">
        <f t="shared" si="69"/>
        <v>0</v>
      </c>
      <c r="O162" s="13">
        <f t="shared" si="70"/>
        <v>0</v>
      </c>
      <c r="P162" s="13">
        <f t="shared" si="71"/>
        <v>0</v>
      </c>
      <c r="Q162" s="13">
        <f t="shared" si="72"/>
        <v>0</v>
      </c>
      <c r="R162" s="12">
        <f t="shared" si="73"/>
        <v>0</v>
      </c>
      <c r="S162" s="12">
        <f t="shared" si="74"/>
        <v>0</v>
      </c>
      <c r="T162" s="12">
        <f t="shared" si="75"/>
        <v>0</v>
      </c>
      <c r="U162" s="12">
        <f t="shared" si="76"/>
        <v>0</v>
      </c>
      <c r="V162" s="13">
        <f t="shared" si="77"/>
        <v>0</v>
      </c>
      <c r="W162" s="12">
        <f t="shared" si="78"/>
        <v>0</v>
      </c>
      <c r="X162" s="12">
        <f t="shared" ref="X162:X193" si="84">GetRTD(A162,B162,"UPPERCKT")</f>
        <v>0</v>
      </c>
      <c r="Y162" s="12">
        <f t="shared" si="79"/>
        <v>0</v>
      </c>
      <c r="Z162" s="12">
        <f t="shared" si="80"/>
        <v>0</v>
      </c>
      <c r="AA162" s="14">
        <f t="shared" si="81"/>
        <v>0</v>
      </c>
      <c r="AB162" s="12">
        <f t="shared" si="82"/>
        <v>0</v>
      </c>
      <c r="AC162" s="15" t="b">
        <f>IF(OR(A162="",B162=""),FALSE,SubscribeQuotes(A162,B162))</f>
        <v>0</v>
      </c>
      <c r="AD162" s="13">
        <f t="shared" si="83"/>
        <v>0</v>
      </c>
    </row>
    <row r="163" spans="1:30">
      <c r="A163" s="9"/>
      <c r="B163" s="9"/>
      <c r="C163" s="10" t="str">
        <f t="shared" si="58"/>
        <v/>
      </c>
      <c r="D163" s="12">
        <f t="shared" si="59"/>
        <v>0</v>
      </c>
      <c r="E163" s="13">
        <f t="shared" si="60"/>
        <v>0</v>
      </c>
      <c r="F163" s="12">
        <f t="shared" si="61"/>
        <v>0</v>
      </c>
      <c r="G163" s="12">
        <f t="shared" si="62"/>
        <v>0</v>
      </c>
      <c r="H163" s="12">
        <f t="shared" si="63"/>
        <v>0</v>
      </c>
      <c r="I163" s="13">
        <f t="shared" si="64"/>
        <v>0</v>
      </c>
      <c r="J163" s="12">
        <f t="shared" si="65"/>
        <v>0</v>
      </c>
      <c r="K163" s="13">
        <f t="shared" si="66"/>
        <v>0</v>
      </c>
      <c r="L163" s="12">
        <f t="shared" si="67"/>
        <v>0</v>
      </c>
      <c r="M163" s="13">
        <f t="shared" si="68"/>
        <v>0</v>
      </c>
      <c r="N163" s="12">
        <f t="shared" si="69"/>
        <v>0</v>
      </c>
      <c r="O163" s="13">
        <f t="shared" si="70"/>
        <v>0</v>
      </c>
      <c r="P163" s="13">
        <f t="shared" si="71"/>
        <v>0</v>
      </c>
      <c r="Q163" s="13">
        <f t="shared" si="72"/>
        <v>0</v>
      </c>
      <c r="R163" s="12">
        <f t="shared" si="73"/>
        <v>0</v>
      </c>
      <c r="S163" s="12">
        <f t="shared" si="74"/>
        <v>0</v>
      </c>
      <c r="T163" s="12">
        <f t="shared" si="75"/>
        <v>0</v>
      </c>
      <c r="U163" s="12">
        <f t="shared" si="76"/>
        <v>0</v>
      </c>
      <c r="V163" s="13">
        <f t="shared" si="77"/>
        <v>0</v>
      </c>
      <c r="W163" s="12">
        <f t="shared" si="78"/>
        <v>0</v>
      </c>
      <c r="X163" s="12">
        <f t="shared" si="84"/>
        <v>0</v>
      </c>
      <c r="Y163" s="12">
        <f t="shared" si="79"/>
        <v>0</v>
      </c>
      <c r="Z163" s="12">
        <f t="shared" si="80"/>
        <v>0</v>
      </c>
      <c r="AA163" s="14">
        <f t="shared" si="81"/>
        <v>0</v>
      </c>
      <c r="AB163" s="12">
        <f t="shared" si="82"/>
        <v>0</v>
      </c>
      <c r="AC163" s="15" t="b">
        <f>IF(OR(A163="",B163=""),FALSE,SubscribeQuotes(A163,B163))</f>
        <v>0</v>
      </c>
      <c r="AD163" s="13">
        <f t="shared" si="83"/>
        <v>0</v>
      </c>
    </row>
    <row r="164" spans="1:30">
      <c r="A164" s="9"/>
      <c r="B164" s="9"/>
      <c r="C164" s="10" t="str">
        <f t="shared" si="58"/>
        <v/>
      </c>
      <c r="D164" s="12">
        <f t="shared" si="59"/>
        <v>0</v>
      </c>
      <c r="E164" s="13">
        <f t="shared" si="60"/>
        <v>0</v>
      </c>
      <c r="F164" s="12">
        <f t="shared" si="61"/>
        <v>0</v>
      </c>
      <c r="G164" s="12">
        <f t="shared" si="62"/>
        <v>0</v>
      </c>
      <c r="H164" s="12">
        <f t="shared" si="63"/>
        <v>0</v>
      </c>
      <c r="I164" s="13">
        <f t="shared" si="64"/>
        <v>0</v>
      </c>
      <c r="J164" s="12">
        <f t="shared" si="65"/>
        <v>0</v>
      </c>
      <c r="K164" s="13">
        <f t="shared" si="66"/>
        <v>0</v>
      </c>
      <c r="L164" s="12">
        <f t="shared" si="67"/>
        <v>0</v>
      </c>
      <c r="M164" s="13">
        <f t="shared" si="68"/>
        <v>0</v>
      </c>
      <c r="N164" s="12">
        <f t="shared" si="69"/>
        <v>0</v>
      </c>
      <c r="O164" s="13">
        <f t="shared" si="70"/>
        <v>0</v>
      </c>
      <c r="P164" s="13">
        <f t="shared" si="71"/>
        <v>0</v>
      </c>
      <c r="Q164" s="13">
        <f t="shared" si="72"/>
        <v>0</v>
      </c>
      <c r="R164" s="12">
        <f t="shared" si="73"/>
        <v>0</v>
      </c>
      <c r="S164" s="12">
        <f t="shared" si="74"/>
        <v>0</v>
      </c>
      <c r="T164" s="12">
        <f t="shared" si="75"/>
        <v>0</v>
      </c>
      <c r="U164" s="12">
        <f t="shared" si="76"/>
        <v>0</v>
      </c>
      <c r="V164" s="13">
        <f t="shared" si="77"/>
        <v>0</v>
      </c>
      <c r="W164" s="12">
        <f t="shared" si="78"/>
        <v>0</v>
      </c>
      <c r="X164" s="12">
        <f t="shared" si="84"/>
        <v>0</v>
      </c>
      <c r="Y164" s="12">
        <f t="shared" si="79"/>
        <v>0</v>
      </c>
      <c r="Z164" s="12">
        <f t="shared" si="80"/>
        <v>0</v>
      </c>
      <c r="AA164" s="14">
        <f t="shared" si="81"/>
        <v>0</v>
      </c>
      <c r="AB164" s="12">
        <f t="shared" si="82"/>
        <v>0</v>
      </c>
      <c r="AC164" s="15" t="b">
        <f>IF(OR(A164="",B164=""),FALSE,SubscribeQuotes(A164,B164))</f>
        <v>0</v>
      </c>
      <c r="AD164" s="13">
        <f t="shared" si="83"/>
        <v>0</v>
      </c>
    </row>
    <row r="165" spans="1:30">
      <c r="A165" s="9"/>
      <c r="B165" s="9"/>
      <c r="C165" s="10" t="str">
        <f t="shared" si="58"/>
        <v/>
      </c>
      <c r="D165" s="12">
        <f t="shared" si="59"/>
        <v>0</v>
      </c>
      <c r="E165" s="13">
        <f t="shared" si="60"/>
        <v>0</v>
      </c>
      <c r="F165" s="12">
        <f t="shared" si="61"/>
        <v>0</v>
      </c>
      <c r="G165" s="12">
        <f t="shared" si="62"/>
        <v>0</v>
      </c>
      <c r="H165" s="12">
        <f t="shared" si="63"/>
        <v>0</v>
      </c>
      <c r="I165" s="13">
        <f t="shared" si="64"/>
        <v>0</v>
      </c>
      <c r="J165" s="12">
        <f t="shared" si="65"/>
        <v>0</v>
      </c>
      <c r="K165" s="13">
        <f t="shared" si="66"/>
        <v>0</v>
      </c>
      <c r="L165" s="12">
        <f t="shared" si="67"/>
        <v>0</v>
      </c>
      <c r="M165" s="13">
        <f t="shared" si="68"/>
        <v>0</v>
      </c>
      <c r="N165" s="12">
        <f t="shared" si="69"/>
        <v>0</v>
      </c>
      <c r="O165" s="13">
        <f t="shared" si="70"/>
        <v>0</v>
      </c>
      <c r="P165" s="13">
        <f t="shared" si="71"/>
        <v>0</v>
      </c>
      <c r="Q165" s="13">
        <f t="shared" si="72"/>
        <v>0</v>
      </c>
      <c r="R165" s="12">
        <f t="shared" si="73"/>
        <v>0</v>
      </c>
      <c r="S165" s="12">
        <f t="shared" si="74"/>
        <v>0</v>
      </c>
      <c r="T165" s="12">
        <f t="shared" si="75"/>
        <v>0</v>
      </c>
      <c r="U165" s="12">
        <f t="shared" si="76"/>
        <v>0</v>
      </c>
      <c r="V165" s="13">
        <f t="shared" si="77"/>
        <v>0</v>
      </c>
      <c r="W165" s="12">
        <f t="shared" si="78"/>
        <v>0</v>
      </c>
      <c r="X165" s="12">
        <f t="shared" si="84"/>
        <v>0</v>
      </c>
      <c r="Y165" s="12">
        <f t="shared" si="79"/>
        <v>0</v>
      </c>
      <c r="Z165" s="12">
        <f t="shared" si="80"/>
        <v>0</v>
      </c>
      <c r="AA165" s="14">
        <f t="shared" si="81"/>
        <v>0</v>
      </c>
      <c r="AB165" s="12">
        <f t="shared" si="82"/>
        <v>0</v>
      </c>
      <c r="AC165" s="15" t="b">
        <f>IF(OR(A165="",B165=""),FALSE,SubscribeQuotes(A165,B165))</f>
        <v>0</v>
      </c>
      <c r="AD165" s="13">
        <f t="shared" si="83"/>
        <v>0</v>
      </c>
    </row>
    <row r="166" spans="1:30">
      <c r="A166" s="9"/>
      <c r="B166" s="9"/>
      <c r="C166" s="10" t="str">
        <f t="shared" si="58"/>
        <v/>
      </c>
      <c r="D166" s="12">
        <f t="shared" si="59"/>
        <v>0</v>
      </c>
      <c r="E166" s="13">
        <f t="shared" si="60"/>
        <v>0</v>
      </c>
      <c r="F166" s="12">
        <f t="shared" si="61"/>
        <v>0</v>
      </c>
      <c r="G166" s="12">
        <f t="shared" si="62"/>
        <v>0</v>
      </c>
      <c r="H166" s="12">
        <f t="shared" si="63"/>
        <v>0</v>
      </c>
      <c r="I166" s="13">
        <f t="shared" si="64"/>
        <v>0</v>
      </c>
      <c r="J166" s="12">
        <f t="shared" si="65"/>
        <v>0</v>
      </c>
      <c r="K166" s="13">
        <f t="shared" si="66"/>
        <v>0</v>
      </c>
      <c r="L166" s="12">
        <f t="shared" si="67"/>
        <v>0</v>
      </c>
      <c r="M166" s="13">
        <f t="shared" si="68"/>
        <v>0</v>
      </c>
      <c r="N166" s="12">
        <f t="shared" si="69"/>
        <v>0</v>
      </c>
      <c r="O166" s="13">
        <f t="shared" si="70"/>
        <v>0</v>
      </c>
      <c r="P166" s="13">
        <f t="shared" si="71"/>
        <v>0</v>
      </c>
      <c r="Q166" s="13">
        <f t="shared" si="72"/>
        <v>0</v>
      </c>
      <c r="R166" s="12">
        <f t="shared" si="73"/>
        <v>0</v>
      </c>
      <c r="S166" s="12">
        <f t="shared" si="74"/>
        <v>0</v>
      </c>
      <c r="T166" s="12">
        <f t="shared" si="75"/>
        <v>0</v>
      </c>
      <c r="U166" s="12">
        <f t="shared" si="76"/>
        <v>0</v>
      </c>
      <c r="V166" s="13">
        <f t="shared" si="77"/>
        <v>0</v>
      </c>
      <c r="W166" s="12">
        <f t="shared" si="78"/>
        <v>0</v>
      </c>
      <c r="X166" s="12">
        <f t="shared" si="84"/>
        <v>0</v>
      </c>
      <c r="Y166" s="12">
        <f t="shared" si="79"/>
        <v>0</v>
      </c>
      <c r="Z166" s="12">
        <f t="shared" si="80"/>
        <v>0</v>
      </c>
      <c r="AA166" s="14">
        <f t="shared" si="81"/>
        <v>0</v>
      </c>
      <c r="AB166" s="12">
        <f t="shared" si="82"/>
        <v>0</v>
      </c>
      <c r="AC166" s="15" t="b">
        <f>IF(OR(A166="",B166=""),FALSE,SubscribeQuotes(A166,B166))</f>
        <v>0</v>
      </c>
      <c r="AD166" s="13">
        <f t="shared" si="83"/>
        <v>0</v>
      </c>
    </row>
    <row r="167" spans="1:30">
      <c r="A167" s="9"/>
      <c r="B167" s="9"/>
      <c r="C167" s="10" t="str">
        <f t="shared" si="58"/>
        <v/>
      </c>
      <c r="D167" s="12">
        <f t="shared" si="59"/>
        <v>0</v>
      </c>
      <c r="E167" s="13">
        <f t="shared" si="60"/>
        <v>0</v>
      </c>
      <c r="F167" s="12">
        <f t="shared" si="61"/>
        <v>0</v>
      </c>
      <c r="G167" s="12">
        <f t="shared" si="62"/>
        <v>0</v>
      </c>
      <c r="H167" s="12">
        <f t="shared" si="63"/>
        <v>0</v>
      </c>
      <c r="I167" s="13">
        <f t="shared" si="64"/>
        <v>0</v>
      </c>
      <c r="J167" s="12">
        <f t="shared" si="65"/>
        <v>0</v>
      </c>
      <c r="K167" s="13">
        <f t="shared" si="66"/>
        <v>0</v>
      </c>
      <c r="L167" s="12">
        <f t="shared" si="67"/>
        <v>0</v>
      </c>
      <c r="M167" s="13">
        <f t="shared" si="68"/>
        <v>0</v>
      </c>
      <c r="N167" s="12">
        <f t="shared" si="69"/>
        <v>0</v>
      </c>
      <c r="O167" s="13">
        <f t="shared" si="70"/>
        <v>0</v>
      </c>
      <c r="P167" s="13">
        <f t="shared" si="71"/>
        <v>0</v>
      </c>
      <c r="Q167" s="13">
        <f t="shared" si="72"/>
        <v>0</v>
      </c>
      <c r="R167" s="12">
        <f t="shared" si="73"/>
        <v>0</v>
      </c>
      <c r="S167" s="12">
        <f t="shared" si="74"/>
        <v>0</v>
      </c>
      <c r="T167" s="12">
        <f t="shared" si="75"/>
        <v>0</v>
      </c>
      <c r="U167" s="12">
        <f t="shared" si="76"/>
        <v>0</v>
      </c>
      <c r="V167" s="13">
        <f t="shared" si="77"/>
        <v>0</v>
      </c>
      <c r="W167" s="12">
        <f t="shared" si="78"/>
        <v>0</v>
      </c>
      <c r="X167" s="12">
        <f t="shared" si="84"/>
        <v>0</v>
      </c>
      <c r="Y167" s="12">
        <f t="shared" si="79"/>
        <v>0</v>
      </c>
      <c r="Z167" s="12">
        <f t="shared" si="80"/>
        <v>0</v>
      </c>
      <c r="AA167" s="14">
        <f t="shared" si="81"/>
        <v>0</v>
      </c>
      <c r="AB167" s="12">
        <f t="shared" si="82"/>
        <v>0</v>
      </c>
      <c r="AC167" s="15" t="b">
        <f>IF(OR(A167="",B167=""),FALSE,SubscribeQuotes(A167,B167))</f>
        <v>0</v>
      </c>
      <c r="AD167" s="13">
        <f t="shared" si="83"/>
        <v>0</v>
      </c>
    </row>
    <row r="168" spans="1:30">
      <c r="A168" s="9"/>
      <c r="B168" s="9"/>
      <c r="C168" s="10" t="str">
        <f t="shared" si="58"/>
        <v/>
      </c>
      <c r="D168" s="12">
        <f t="shared" si="59"/>
        <v>0</v>
      </c>
      <c r="E168" s="13">
        <f t="shared" si="60"/>
        <v>0</v>
      </c>
      <c r="F168" s="12">
        <f t="shared" si="61"/>
        <v>0</v>
      </c>
      <c r="G168" s="12">
        <f t="shared" si="62"/>
        <v>0</v>
      </c>
      <c r="H168" s="12">
        <f t="shared" si="63"/>
        <v>0</v>
      </c>
      <c r="I168" s="13">
        <f t="shared" si="64"/>
        <v>0</v>
      </c>
      <c r="J168" s="12">
        <f t="shared" si="65"/>
        <v>0</v>
      </c>
      <c r="K168" s="13">
        <f t="shared" si="66"/>
        <v>0</v>
      </c>
      <c r="L168" s="12">
        <f t="shared" si="67"/>
        <v>0</v>
      </c>
      <c r="M168" s="13">
        <f t="shared" si="68"/>
        <v>0</v>
      </c>
      <c r="N168" s="12">
        <f t="shared" si="69"/>
        <v>0</v>
      </c>
      <c r="O168" s="13">
        <f t="shared" si="70"/>
        <v>0</v>
      </c>
      <c r="P168" s="13">
        <f t="shared" si="71"/>
        <v>0</v>
      </c>
      <c r="Q168" s="13">
        <f t="shared" si="72"/>
        <v>0</v>
      </c>
      <c r="R168" s="12">
        <f t="shared" si="73"/>
        <v>0</v>
      </c>
      <c r="S168" s="12">
        <f t="shared" si="74"/>
        <v>0</v>
      </c>
      <c r="T168" s="12">
        <f t="shared" si="75"/>
        <v>0</v>
      </c>
      <c r="U168" s="12">
        <f t="shared" si="76"/>
        <v>0</v>
      </c>
      <c r="V168" s="13">
        <f t="shared" si="77"/>
        <v>0</v>
      </c>
      <c r="W168" s="12">
        <f t="shared" si="78"/>
        <v>0</v>
      </c>
      <c r="X168" s="12">
        <f t="shared" si="84"/>
        <v>0</v>
      </c>
      <c r="Y168" s="12">
        <f t="shared" si="79"/>
        <v>0</v>
      </c>
      <c r="Z168" s="12">
        <f t="shared" si="80"/>
        <v>0</v>
      </c>
      <c r="AA168" s="14">
        <f t="shared" si="81"/>
        <v>0</v>
      </c>
      <c r="AB168" s="12">
        <f t="shared" si="82"/>
        <v>0</v>
      </c>
      <c r="AC168" s="15" t="b">
        <f>IF(OR(A168="",B168=""),FALSE,SubscribeQuotes(A168,B168))</f>
        <v>0</v>
      </c>
      <c r="AD168" s="13">
        <f t="shared" si="83"/>
        <v>0</v>
      </c>
    </row>
    <row r="169" spans="1:30">
      <c r="A169" s="9"/>
      <c r="B169" s="9"/>
      <c r="C169" s="10" t="str">
        <f t="shared" si="58"/>
        <v/>
      </c>
      <c r="D169" s="12">
        <f t="shared" si="59"/>
        <v>0</v>
      </c>
      <c r="E169" s="13">
        <f t="shared" si="60"/>
        <v>0</v>
      </c>
      <c r="F169" s="12">
        <f t="shared" si="61"/>
        <v>0</v>
      </c>
      <c r="G169" s="12">
        <f t="shared" si="62"/>
        <v>0</v>
      </c>
      <c r="H169" s="12">
        <f t="shared" si="63"/>
        <v>0</v>
      </c>
      <c r="I169" s="13">
        <f t="shared" si="64"/>
        <v>0</v>
      </c>
      <c r="J169" s="12">
        <f t="shared" si="65"/>
        <v>0</v>
      </c>
      <c r="K169" s="13">
        <f t="shared" si="66"/>
        <v>0</v>
      </c>
      <c r="L169" s="12">
        <f t="shared" si="67"/>
        <v>0</v>
      </c>
      <c r="M169" s="13">
        <f t="shared" si="68"/>
        <v>0</v>
      </c>
      <c r="N169" s="12">
        <f t="shared" si="69"/>
        <v>0</v>
      </c>
      <c r="O169" s="13">
        <f t="shared" si="70"/>
        <v>0</v>
      </c>
      <c r="P169" s="13">
        <f t="shared" si="71"/>
        <v>0</v>
      </c>
      <c r="Q169" s="13">
        <f t="shared" si="72"/>
        <v>0</v>
      </c>
      <c r="R169" s="12">
        <f t="shared" si="73"/>
        <v>0</v>
      </c>
      <c r="S169" s="12">
        <f t="shared" si="74"/>
        <v>0</v>
      </c>
      <c r="T169" s="12">
        <f t="shared" si="75"/>
        <v>0</v>
      </c>
      <c r="U169" s="12">
        <f t="shared" si="76"/>
        <v>0</v>
      </c>
      <c r="V169" s="13">
        <f t="shared" si="77"/>
        <v>0</v>
      </c>
      <c r="W169" s="12">
        <f t="shared" si="78"/>
        <v>0</v>
      </c>
      <c r="X169" s="12">
        <f t="shared" si="84"/>
        <v>0</v>
      </c>
      <c r="Y169" s="12">
        <f t="shared" si="79"/>
        <v>0</v>
      </c>
      <c r="Z169" s="12">
        <f t="shared" si="80"/>
        <v>0</v>
      </c>
      <c r="AA169" s="14">
        <f t="shared" si="81"/>
        <v>0</v>
      </c>
      <c r="AB169" s="12">
        <f t="shared" si="82"/>
        <v>0</v>
      </c>
      <c r="AC169" s="15" t="b">
        <f>IF(OR(A169="",B169=""),FALSE,SubscribeQuotes(A169,B169))</f>
        <v>0</v>
      </c>
      <c r="AD169" s="13">
        <f t="shared" si="83"/>
        <v>0</v>
      </c>
    </row>
    <row r="170" spans="1:30">
      <c r="A170" s="9"/>
      <c r="B170" s="9"/>
      <c r="C170" s="10" t="str">
        <f t="shared" si="58"/>
        <v/>
      </c>
      <c r="D170" s="12">
        <f t="shared" si="59"/>
        <v>0</v>
      </c>
      <c r="E170" s="13">
        <f t="shared" si="60"/>
        <v>0</v>
      </c>
      <c r="F170" s="12">
        <f t="shared" si="61"/>
        <v>0</v>
      </c>
      <c r="G170" s="12">
        <f t="shared" si="62"/>
        <v>0</v>
      </c>
      <c r="H170" s="12">
        <f t="shared" si="63"/>
        <v>0</v>
      </c>
      <c r="I170" s="13">
        <f t="shared" si="64"/>
        <v>0</v>
      </c>
      <c r="J170" s="12">
        <f t="shared" si="65"/>
        <v>0</v>
      </c>
      <c r="K170" s="13">
        <f t="shared" si="66"/>
        <v>0</v>
      </c>
      <c r="L170" s="12">
        <f t="shared" si="67"/>
        <v>0</v>
      </c>
      <c r="M170" s="13">
        <f t="shared" si="68"/>
        <v>0</v>
      </c>
      <c r="N170" s="12">
        <f t="shared" si="69"/>
        <v>0</v>
      </c>
      <c r="O170" s="13">
        <f t="shared" si="70"/>
        <v>0</v>
      </c>
      <c r="P170" s="13">
        <f t="shared" si="71"/>
        <v>0</v>
      </c>
      <c r="Q170" s="13">
        <f t="shared" si="72"/>
        <v>0</v>
      </c>
      <c r="R170" s="12">
        <f t="shared" si="73"/>
        <v>0</v>
      </c>
      <c r="S170" s="12">
        <f t="shared" si="74"/>
        <v>0</v>
      </c>
      <c r="T170" s="12">
        <f t="shared" si="75"/>
        <v>0</v>
      </c>
      <c r="U170" s="12">
        <f t="shared" si="76"/>
        <v>0</v>
      </c>
      <c r="V170" s="13">
        <f t="shared" si="77"/>
        <v>0</v>
      </c>
      <c r="W170" s="12">
        <f t="shared" si="78"/>
        <v>0</v>
      </c>
      <c r="X170" s="12">
        <f t="shared" si="84"/>
        <v>0</v>
      </c>
      <c r="Y170" s="12">
        <f t="shared" si="79"/>
        <v>0</v>
      </c>
      <c r="Z170" s="12">
        <f t="shared" si="80"/>
        <v>0</v>
      </c>
      <c r="AA170" s="14">
        <f t="shared" si="81"/>
        <v>0</v>
      </c>
      <c r="AB170" s="12">
        <f t="shared" si="82"/>
        <v>0</v>
      </c>
      <c r="AC170" s="15" t="b">
        <f>IF(OR(A170="",B170=""),FALSE,SubscribeQuotes(A170,B170))</f>
        <v>0</v>
      </c>
      <c r="AD170" s="13">
        <f t="shared" si="83"/>
        <v>0</v>
      </c>
    </row>
    <row r="171" spans="1:30">
      <c r="A171" s="9"/>
      <c r="B171" s="9"/>
      <c r="C171" s="10" t="str">
        <f t="shared" si="58"/>
        <v/>
      </c>
      <c r="D171" s="12">
        <f t="shared" si="59"/>
        <v>0</v>
      </c>
      <c r="E171" s="13">
        <f t="shared" si="60"/>
        <v>0</v>
      </c>
      <c r="F171" s="12">
        <f t="shared" si="61"/>
        <v>0</v>
      </c>
      <c r="G171" s="12">
        <f t="shared" si="62"/>
        <v>0</v>
      </c>
      <c r="H171" s="12">
        <f t="shared" si="63"/>
        <v>0</v>
      </c>
      <c r="I171" s="13">
        <f t="shared" si="64"/>
        <v>0</v>
      </c>
      <c r="J171" s="12">
        <f t="shared" si="65"/>
        <v>0</v>
      </c>
      <c r="K171" s="13">
        <f t="shared" si="66"/>
        <v>0</v>
      </c>
      <c r="L171" s="12">
        <f t="shared" si="67"/>
        <v>0</v>
      </c>
      <c r="M171" s="13">
        <f t="shared" si="68"/>
        <v>0</v>
      </c>
      <c r="N171" s="12">
        <f t="shared" si="69"/>
        <v>0</v>
      </c>
      <c r="O171" s="13">
        <f t="shared" si="70"/>
        <v>0</v>
      </c>
      <c r="P171" s="13">
        <f t="shared" si="71"/>
        <v>0</v>
      </c>
      <c r="Q171" s="13">
        <f t="shared" si="72"/>
        <v>0</v>
      </c>
      <c r="R171" s="12">
        <f t="shared" si="73"/>
        <v>0</v>
      </c>
      <c r="S171" s="12">
        <f t="shared" si="74"/>
        <v>0</v>
      </c>
      <c r="T171" s="12">
        <f t="shared" si="75"/>
        <v>0</v>
      </c>
      <c r="U171" s="12">
        <f t="shared" si="76"/>
        <v>0</v>
      </c>
      <c r="V171" s="13">
        <f t="shared" si="77"/>
        <v>0</v>
      </c>
      <c r="W171" s="12">
        <f t="shared" si="78"/>
        <v>0</v>
      </c>
      <c r="X171" s="12">
        <f t="shared" si="84"/>
        <v>0</v>
      </c>
      <c r="Y171" s="12">
        <f t="shared" si="79"/>
        <v>0</v>
      </c>
      <c r="Z171" s="12">
        <f t="shared" si="80"/>
        <v>0</v>
      </c>
      <c r="AA171" s="14">
        <f t="shared" si="81"/>
        <v>0</v>
      </c>
      <c r="AB171" s="12">
        <f t="shared" si="82"/>
        <v>0</v>
      </c>
      <c r="AC171" s="15" t="b">
        <f>IF(OR(A171="",B171=""),FALSE,SubscribeQuotes(A171,B171))</f>
        <v>0</v>
      </c>
      <c r="AD171" s="13">
        <f t="shared" si="83"/>
        <v>0</v>
      </c>
    </row>
    <row r="172" spans="1:30">
      <c r="A172" s="9"/>
      <c r="B172" s="9"/>
      <c r="C172" s="10" t="str">
        <f t="shared" si="58"/>
        <v/>
      </c>
      <c r="D172" s="12">
        <f t="shared" si="59"/>
        <v>0</v>
      </c>
      <c r="E172" s="13">
        <f t="shared" si="60"/>
        <v>0</v>
      </c>
      <c r="F172" s="12">
        <f t="shared" si="61"/>
        <v>0</v>
      </c>
      <c r="G172" s="12">
        <f t="shared" si="62"/>
        <v>0</v>
      </c>
      <c r="H172" s="12">
        <f t="shared" si="63"/>
        <v>0</v>
      </c>
      <c r="I172" s="13">
        <f t="shared" si="64"/>
        <v>0</v>
      </c>
      <c r="J172" s="12">
        <f t="shared" si="65"/>
        <v>0</v>
      </c>
      <c r="K172" s="13">
        <f t="shared" si="66"/>
        <v>0</v>
      </c>
      <c r="L172" s="12">
        <f t="shared" si="67"/>
        <v>0</v>
      </c>
      <c r="M172" s="13">
        <f t="shared" si="68"/>
        <v>0</v>
      </c>
      <c r="N172" s="12">
        <f t="shared" si="69"/>
        <v>0</v>
      </c>
      <c r="O172" s="13">
        <f t="shared" si="70"/>
        <v>0</v>
      </c>
      <c r="P172" s="13">
        <f t="shared" si="71"/>
        <v>0</v>
      </c>
      <c r="Q172" s="13">
        <f t="shared" si="72"/>
        <v>0</v>
      </c>
      <c r="R172" s="12">
        <f t="shared" si="73"/>
        <v>0</v>
      </c>
      <c r="S172" s="12">
        <f t="shared" si="74"/>
        <v>0</v>
      </c>
      <c r="T172" s="12">
        <f t="shared" si="75"/>
        <v>0</v>
      </c>
      <c r="U172" s="12">
        <f t="shared" si="76"/>
        <v>0</v>
      </c>
      <c r="V172" s="13">
        <f t="shared" si="77"/>
        <v>0</v>
      </c>
      <c r="W172" s="12">
        <f t="shared" si="78"/>
        <v>0</v>
      </c>
      <c r="X172" s="12">
        <f t="shared" si="84"/>
        <v>0</v>
      </c>
      <c r="Y172" s="12">
        <f t="shared" si="79"/>
        <v>0</v>
      </c>
      <c r="Z172" s="12">
        <f t="shared" si="80"/>
        <v>0</v>
      </c>
      <c r="AA172" s="14">
        <f t="shared" si="81"/>
        <v>0</v>
      </c>
      <c r="AB172" s="12">
        <f t="shared" si="82"/>
        <v>0</v>
      </c>
      <c r="AC172" s="15" t="b">
        <f>IF(OR(A172="",B172=""),FALSE,SubscribeQuotes(A172,B172))</f>
        <v>0</v>
      </c>
      <c r="AD172" s="13">
        <f t="shared" si="83"/>
        <v>0</v>
      </c>
    </row>
    <row r="173" spans="1:30">
      <c r="A173" s="9"/>
      <c r="B173" s="9"/>
      <c r="C173" s="10" t="str">
        <f t="shared" si="58"/>
        <v/>
      </c>
      <c r="D173" s="12">
        <f t="shared" si="59"/>
        <v>0</v>
      </c>
      <c r="E173" s="13">
        <f t="shared" si="60"/>
        <v>0</v>
      </c>
      <c r="F173" s="12">
        <f t="shared" si="61"/>
        <v>0</v>
      </c>
      <c r="G173" s="12">
        <f t="shared" si="62"/>
        <v>0</v>
      </c>
      <c r="H173" s="12">
        <f t="shared" si="63"/>
        <v>0</v>
      </c>
      <c r="I173" s="13">
        <f t="shared" si="64"/>
        <v>0</v>
      </c>
      <c r="J173" s="12">
        <f t="shared" si="65"/>
        <v>0</v>
      </c>
      <c r="K173" s="13">
        <f t="shared" si="66"/>
        <v>0</v>
      </c>
      <c r="L173" s="12">
        <f t="shared" si="67"/>
        <v>0</v>
      </c>
      <c r="M173" s="13">
        <f t="shared" si="68"/>
        <v>0</v>
      </c>
      <c r="N173" s="12">
        <f t="shared" si="69"/>
        <v>0</v>
      </c>
      <c r="O173" s="13">
        <f t="shared" si="70"/>
        <v>0</v>
      </c>
      <c r="P173" s="13">
        <f t="shared" si="71"/>
        <v>0</v>
      </c>
      <c r="Q173" s="13">
        <f t="shared" si="72"/>
        <v>0</v>
      </c>
      <c r="R173" s="12">
        <f t="shared" si="73"/>
        <v>0</v>
      </c>
      <c r="S173" s="12">
        <f t="shared" si="74"/>
        <v>0</v>
      </c>
      <c r="T173" s="12">
        <f t="shared" si="75"/>
        <v>0</v>
      </c>
      <c r="U173" s="12">
        <f t="shared" si="76"/>
        <v>0</v>
      </c>
      <c r="V173" s="13">
        <f t="shared" si="77"/>
        <v>0</v>
      </c>
      <c r="W173" s="12">
        <f t="shared" si="78"/>
        <v>0</v>
      </c>
      <c r="X173" s="12">
        <f t="shared" si="84"/>
        <v>0</v>
      </c>
      <c r="Y173" s="12">
        <f t="shared" si="79"/>
        <v>0</v>
      </c>
      <c r="Z173" s="12">
        <f t="shared" si="80"/>
        <v>0</v>
      </c>
      <c r="AA173" s="14">
        <f t="shared" si="81"/>
        <v>0</v>
      </c>
      <c r="AB173" s="12">
        <f t="shared" si="82"/>
        <v>0</v>
      </c>
      <c r="AC173" s="15" t="b">
        <f>IF(OR(A173="",B173=""),FALSE,SubscribeQuotes(A173,B173))</f>
        <v>0</v>
      </c>
      <c r="AD173" s="13">
        <f t="shared" si="83"/>
        <v>0</v>
      </c>
    </row>
    <row r="174" spans="1:30">
      <c r="A174" s="9"/>
      <c r="B174" s="9"/>
      <c r="C174" s="10" t="str">
        <f t="shared" si="58"/>
        <v/>
      </c>
      <c r="D174" s="12">
        <f t="shared" si="59"/>
        <v>0</v>
      </c>
      <c r="E174" s="13">
        <f t="shared" si="60"/>
        <v>0</v>
      </c>
      <c r="F174" s="12">
        <f t="shared" si="61"/>
        <v>0</v>
      </c>
      <c r="G174" s="12">
        <f t="shared" si="62"/>
        <v>0</v>
      </c>
      <c r="H174" s="12">
        <f t="shared" si="63"/>
        <v>0</v>
      </c>
      <c r="I174" s="13">
        <f t="shared" si="64"/>
        <v>0</v>
      </c>
      <c r="J174" s="12">
        <f t="shared" si="65"/>
        <v>0</v>
      </c>
      <c r="K174" s="13">
        <f t="shared" si="66"/>
        <v>0</v>
      </c>
      <c r="L174" s="12">
        <f t="shared" si="67"/>
        <v>0</v>
      </c>
      <c r="M174" s="13">
        <f t="shared" si="68"/>
        <v>0</v>
      </c>
      <c r="N174" s="12">
        <f t="shared" si="69"/>
        <v>0</v>
      </c>
      <c r="O174" s="13">
        <f t="shared" si="70"/>
        <v>0</v>
      </c>
      <c r="P174" s="13">
        <f t="shared" si="71"/>
        <v>0</v>
      </c>
      <c r="Q174" s="13">
        <f t="shared" si="72"/>
        <v>0</v>
      </c>
      <c r="R174" s="12">
        <f t="shared" si="73"/>
        <v>0</v>
      </c>
      <c r="S174" s="12">
        <f t="shared" si="74"/>
        <v>0</v>
      </c>
      <c r="T174" s="12">
        <f t="shared" si="75"/>
        <v>0</v>
      </c>
      <c r="U174" s="12">
        <f t="shared" si="76"/>
        <v>0</v>
      </c>
      <c r="V174" s="13">
        <f t="shared" si="77"/>
        <v>0</v>
      </c>
      <c r="W174" s="12">
        <f t="shared" si="78"/>
        <v>0</v>
      </c>
      <c r="X174" s="12">
        <f t="shared" si="84"/>
        <v>0</v>
      </c>
      <c r="Y174" s="12">
        <f t="shared" si="79"/>
        <v>0</v>
      </c>
      <c r="Z174" s="12">
        <f t="shared" si="80"/>
        <v>0</v>
      </c>
      <c r="AA174" s="14">
        <f t="shared" si="81"/>
        <v>0</v>
      </c>
      <c r="AB174" s="12">
        <f t="shared" si="82"/>
        <v>0</v>
      </c>
      <c r="AC174" s="15" t="b">
        <f>IF(OR(A174="",B174=""),FALSE,SubscribeQuotes(A174,B174))</f>
        <v>0</v>
      </c>
      <c r="AD174" s="13">
        <f t="shared" si="83"/>
        <v>0</v>
      </c>
    </row>
    <row r="175" spans="1:30">
      <c r="A175" s="9"/>
      <c r="B175" s="9"/>
      <c r="C175" s="10" t="str">
        <f t="shared" si="58"/>
        <v/>
      </c>
      <c r="D175" s="12">
        <f t="shared" si="59"/>
        <v>0</v>
      </c>
      <c r="E175" s="13">
        <f t="shared" si="60"/>
        <v>0</v>
      </c>
      <c r="F175" s="12">
        <f t="shared" si="61"/>
        <v>0</v>
      </c>
      <c r="G175" s="12">
        <f t="shared" si="62"/>
        <v>0</v>
      </c>
      <c r="H175" s="12">
        <f t="shared" si="63"/>
        <v>0</v>
      </c>
      <c r="I175" s="13">
        <f t="shared" si="64"/>
        <v>0</v>
      </c>
      <c r="J175" s="12">
        <f t="shared" si="65"/>
        <v>0</v>
      </c>
      <c r="K175" s="13">
        <f t="shared" si="66"/>
        <v>0</v>
      </c>
      <c r="L175" s="12">
        <f t="shared" si="67"/>
        <v>0</v>
      </c>
      <c r="M175" s="13">
        <f t="shared" si="68"/>
        <v>0</v>
      </c>
      <c r="N175" s="12">
        <f t="shared" si="69"/>
        <v>0</v>
      </c>
      <c r="O175" s="13">
        <f t="shared" si="70"/>
        <v>0</v>
      </c>
      <c r="P175" s="13">
        <f t="shared" si="71"/>
        <v>0</v>
      </c>
      <c r="Q175" s="13">
        <f t="shared" si="72"/>
        <v>0</v>
      </c>
      <c r="R175" s="12">
        <f t="shared" si="73"/>
        <v>0</v>
      </c>
      <c r="S175" s="12">
        <f t="shared" si="74"/>
        <v>0</v>
      </c>
      <c r="T175" s="12">
        <f t="shared" si="75"/>
        <v>0</v>
      </c>
      <c r="U175" s="12">
        <f t="shared" si="76"/>
        <v>0</v>
      </c>
      <c r="V175" s="13">
        <f t="shared" si="77"/>
        <v>0</v>
      </c>
      <c r="W175" s="12">
        <f t="shared" si="78"/>
        <v>0</v>
      </c>
      <c r="X175" s="12">
        <f t="shared" si="84"/>
        <v>0</v>
      </c>
      <c r="Y175" s="12">
        <f t="shared" si="79"/>
        <v>0</v>
      </c>
      <c r="Z175" s="12">
        <f t="shared" si="80"/>
        <v>0</v>
      </c>
      <c r="AA175" s="14">
        <f t="shared" si="81"/>
        <v>0</v>
      </c>
      <c r="AB175" s="12">
        <f t="shared" si="82"/>
        <v>0</v>
      </c>
      <c r="AC175" s="15" t="b">
        <f>IF(OR(A175="",B175=""),FALSE,SubscribeQuotes(A175,B175))</f>
        <v>0</v>
      </c>
      <c r="AD175" s="13">
        <f t="shared" si="83"/>
        <v>0</v>
      </c>
    </row>
    <row r="176" spans="1:30">
      <c r="A176" s="9"/>
      <c r="B176" s="9"/>
      <c r="C176" s="10" t="str">
        <f t="shared" si="58"/>
        <v/>
      </c>
      <c r="D176" s="12">
        <f t="shared" si="59"/>
        <v>0</v>
      </c>
      <c r="E176" s="13">
        <f t="shared" si="60"/>
        <v>0</v>
      </c>
      <c r="F176" s="12">
        <f t="shared" si="61"/>
        <v>0</v>
      </c>
      <c r="G176" s="12">
        <f t="shared" si="62"/>
        <v>0</v>
      </c>
      <c r="H176" s="12">
        <f t="shared" si="63"/>
        <v>0</v>
      </c>
      <c r="I176" s="13">
        <f t="shared" si="64"/>
        <v>0</v>
      </c>
      <c r="J176" s="12">
        <f t="shared" si="65"/>
        <v>0</v>
      </c>
      <c r="K176" s="13">
        <f t="shared" si="66"/>
        <v>0</v>
      </c>
      <c r="L176" s="12">
        <f t="shared" si="67"/>
        <v>0</v>
      </c>
      <c r="M176" s="13">
        <f t="shared" si="68"/>
        <v>0</v>
      </c>
      <c r="N176" s="12">
        <f t="shared" si="69"/>
        <v>0</v>
      </c>
      <c r="O176" s="13">
        <f t="shared" si="70"/>
        <v>0</v>
      </c>
      <c r="P176" s="13">
        <f t="shared" si="71"/>
        <v>0</v>
      </c>
      <c r="Q176" s="13">
        <f t="shared" si="72"/>
        <v>0</v>
      </c>
      <c r="R176" s="12">
        <f t="shared" si="73"/>
        <v>0</v>
      </c>
      <c r="S176" s="12">
        <f t="shared" si="74"/>
        <v>0</v>
      </c>
      <c r="T176" s="12">
        <f t="shared" si="75"/>
        <v>0</v>
      </c>
      <c r="U176" s="12">
        <f t="shared" si="76"/>
        <v>0</v>
      </c>
      <c r="V176" s="13">
        <f t="shared" si="77"/>
        <v>0</v>
      </c>
      <c r="W176" s="12">
        <f t="shared" si="78"/>
        <v>0</v>
      </c>
      <c r="X176" s="12">
        <f t="shared" si="84"/>
        <v>0</v>
      </c>
      <c r="Y176" s="12">
        <f t="shared" si="79"/>
        <v>0</v>
      </c>
      <c r="Z176" s="12">
        <f t="shared" si="80"/>
        <v>0</v>
      </c>
      <c r="AA176" s="14">
        <f t="shared" si="81"/>
        <v>0</v>
      </c>
      <c r="AB176" s="12">
        <f t="shared" si="82"/>
        <v>0</v>
      </c>
      <c r="AC176" s="15" t="b">
        <f>IF(OR(A176="",B176=""),FALSE,SubscribeQuotes(A176,B176))</f>
        <v>0</v>
      </c>
      <c r="AD176" s="13">
        <f t="shared" si="83"/>
        <v>0</v>
      </c>
    </row>
    <row r="177" spans="1:30">
      <c r="A177" s="9"/>
      <c r="B177" s="9"/>
      <c r="C177" s="10" t="str">
        <f t="shared" si="58"/>
        <v/>
      </c>
      <c r="D177" s="12">
        <f t="shared" si="59"/>
        <v>0</v>
      </c>
      <c r="E177" s="13">
        <f t="shared" si="60"/>
        <v>0</v>
      </c>
      <c r="F177" s="12">
        <f t="shared" si="61"/>
        <v>0</v>
      </c>
      <c r="G177" s="12">
        <f t="shared" si="62"/>
        <v>0</v>
      </c>
      <c r="H177" s="12">
        <f t="shared" si="63"/>
        <v>0</v>
      </c>
      <c r="I177" s="13">
        <f t="shared" si="64"/>
        <v>0</v>
      </c>
      <c r="J177" s="12">
        <f t="shared" si="65"/>
        <v>0</v>
      </c>
      <c r="K177" s="13">
        <f t="shared" si="66"/>
        <v>0</v>
      </c>
      <c r="L177" s="12">
        <f t="shared" si="67"/>
        <v>0</v>
      </c>
      <c r="M177" s="13">
        <f t="shared" si="68"/>
        <v>0</v>
      </c>
      <c r="N177" s="12">
        <f t="shared" si="69"/>
        <v>0</v>
      </c>
      <c r="O177" s="13">
        <f t="shared" si="70"/>
        <v>0</v>
      </c>
      <c r="P177" s="13">
        <f t="shared" si="71"/>
        <v>0</v>
      </c>
      <c r="Q177" s="13">
        <f t="shared" si="72"/>
        <v>0</v>
      </c>
      <c r="R177" s="12">
        <f t="shared" si="73"/>
        <v>0</v>
      </c>
      <c r="S177" s="12">
        <f t="shared" si="74"/>
        <v>0</v>
      </c>
      <c r="T177" s="12">
        <f t="shared" si="75"/>
        <v>0</v>
      </c>
      <c r="U177" s="12">
        <f t="shared" si="76"/>
        <v>0</v>
      </c>
      <c r="V177" s="13">
        <f t="shared" si="77"/>
        <v>0</v>
      </c>
      <c r="W177" s="12">
        <f t="shared" si="78"/>
        <v>0</v>
      </c>
      <c r="X177" s="12">
        <f t="shared" si="84"/>
        <v>0</v>
      </c>
      <c r="Y177" s="12">
        <f t="shared" si="79"/>
        <v>0</v>
      </c>
      <c r="Z177" s="12">
        <f t="shared" si="80"/>
        <v>0</v>
      </c>
      <c r="AA177" s="14">
        <f t="shared" si="81"/>
        <v>0</v>
      </c>
      <c r="AB177" s="12">
        <f t="shared" si="82"/>
        <v>0</v>
      </c>
      <c r="AC177" s="15" t="b">
        <f>IF(OR(A177="",B177=""),FALSE,SubscribeQuotes(A177,B177))</f>
        <v>0</v>
      </c>
      <c r="AD177" s="13">
        <f t="shared" si="83"/>
        <v>0</v>
      </c>
    </row>
    <row r="178" spans="1:30">
      <c r="A178" s="9"/>
      <c r="B178" s="9"/>
      <c r="C178" s="10" t="str">
        <f t="shared" si="58"/>
        <v/>
      </c>
      <c r="D178" s="12">
        <f t="shared" si="59"/>
        <v>0</v>
      </c>
      <c r="E178" s="13">
        <f t="shared" si="60"/>
        <v>0</v>
      </c>
      <c r="F178" s="12">
        <f t="shared" si="61"/>
        <v>0</v>
      </c>
      <c r="G178" s="12">
        <f t="shared" si="62"/>
        <v>0</v>
      </c>
      <c r="H178" s="12">
        <f t="shared" si="63"/>
        <v>0</v>
      </c>
      <c r="I178" s="13">
        <f t="shared" si="64"/>
        <v>0</v>
      </c>
      <c r="J178" s="12">
        <f t="shared" si="65"/>
        <v>0</v>
      </c>
      <c r="K178" s="13">
        <f t="shared" si="66"/>
        <v>0</v>
      </c>
      <c r="L178" s="12">
        <f t="shared" si="67"/>
        <v>0</v>
      </c>
      <c r="M178" s="13">
        <f t="shared" si="68"/>
        <v>0</v>
      </c>
      <c r="N178" s="12">
        <f t="shared" si="69"/>
        <v>0</v>
      </c>
      <c r="O178" s="13">
        <f t="shared" si="70"/>
        <v>0</v>
      </c>
      <c r="P178" s="13">
        <f t="shared" si="71"/>
        <v>0</v>
      </c>
      <c r="Q178" s="13">
        <f t="shared" si="72"/>
        <v>0</v>
      </c>
      <c r="R178" s="12">
        <f t="shared" si="73"/>
        <v>0</v>
      </c>
      <c r="S178" s="12">
        <f t="shared" si="74"/>
        <v>0</v>
      </c>
      <c r="T178" s="12">
        <f t="shared" si="75"/>
        <v>0</v>
      </c>
      <c r="U178" s="12">
        <f t="shared" si="76"/>
        <v>0</v>
      </c>
      <c r="V178" s="13">
        <f t="shared" si="77"/>
        <v>0</v>
      </c>
      <c r="W178" s="12">
        <f t="shared" si="78"/>
        <v>0</v>
      </c>
      <c r="X178" s="12">
        <f t="shared" si="84"/>
        <v>0</v>
      </c>
      <c r="Y178" s="12">
        <f t="shared" si="79"/>
        <v>0</v>
      </c>
      <c r="Z178" s="12">
        <f t="shared" si="80"/>
        <v>0</v>
      </c>
      <c r="AA178" s="14">
        <f t="shared" si="81"/>
        <v>0</v>
      </c>
      <c r="AB178" s="12">
        <f t="shared" si="82"/>
        <v>0</v>
      </c>
      <c r="AC178" s="15" t="b">
        <f>IF(OR(A178="",B178=""),FALSE,SubscribeQuotes(A178,B178))</f>
        <v>0</v>
      </c>
      <c r="AD178" s="13">
        <f t="shared" si="83"/>
        <v>0</v>
      </c>
    </row>
    <row r="179" spans="1:30">
      <c r="A179" s="9"/>
      <c r="B179" s="9"/>
      <c r="C179" s="10" t="str">
        <f t="shared" si="58"/>
        <v/>
      </c>
      <c r="D179" s="12">
        <f t="shared" si="59"/>
        <v>0</v>
      </c>
      <c r="E179" s="13">
        <f t="shared" si="60"/>
        <v>0</v>
      </c>
      <c r="F179" s="12">
        <f t="shared" si="61"/>
        <v>0</v>
      </c>
      <c r="G179" s="12">
        <f t="shared" si="62"/>
        <v>0</v>
      </c>
      <c r="H179" s="12">
        <f t="shared" si="63"/>
        <v>0</v>
      </c>
      <c r="I179" s="13">
        <f t="shared" si="64"/>
        <v>0</v>
      </c>
      <c r="J179" s="12">
        <f t="shared" si="65"/>
        <v>0</v>
      </c>
      <c r="K179" s="13">
        <f t="shared" si="66"/>
        <v>0</v>
      </c>
      <c r="L179" s="12">
        <f t="shared" si="67"/>
        <v>0</v>
      </c>
      <c r="M179" s="13">
        <f t="shared" si="68"/>
        <v>0</v>
      </c>
      <c r="N179" s="12">
        <f t="shared" si="69"/>
        <v>0</v>
      </c>
      <c r="O179" s="13">
        <f t="shared" si="70"/>
        <v>0</v>
      </c>
      <c r="P179" s="13">
        <f t="shared" si="71"/>
        <v>0</v>
      </c>
      <c r="Q179" s="13">
        <f t="shared" si="72"/>
        <v>0</v>
      </c>
      <c r="R179" s="12">
        <f t="shared" si="73"/>
        <v>0</v>
      </c>
      <c r="S179" s="12">
        <f t="shared" si="74"/>
        <v>0</v>
      </c>
      <c r="T179" s="12">
        <f t="shared" si="75"/>
        <v>0</v>
      </c>
      <c r="U179" s="12">
        <f t="shared" si="76"/>
        <v>0</v>
      </c>
      <c r="V179" s="13">
        <f t="shared" si="77"/>
        <v>0</v>
      </c>
      <c r="W179" s="12">
        <f t="shared" si="78"/>
        <v>0</v>
      </c>
      <c r="X179" s="12">
        <f t="shared" si="84"/>
        <v>0</v>
      </c>
      <c r="Y179" s="12">
        <f t="shared" si="79"/>
        <v>0</v>
      </c>
      <c r="Z179" s="12">
        <f t="shared" si="80"/>
        <v>0</v>
      </c>
      <c r="AA179" s="14">
        <f t="shared" si="81"/>
        <v>0</v>
      </c>
      <c r="AB179" s="12">
        <f t="shared" si="82"/>
        <v>0</v>
      </c>
      <c r="AC179" s="15" t="b">
        <f>IF(OR(A179="",B179=""),FALSE,SubscribeQuotes(A179,B179))</f>
        <v>0</v>
      </c>
      <c r="AD179" s="13">
        <f t="shared" si="83"/>
        <v>0</v>
      </c>
    </row>
    <row r="180" spans="1:30">
      <c r="A180" s="9"/>
      <c r="B180" s="9"/>
      <c r="C180" s="10" t="str">
        <f t="shared" si="58"/>
        <v/>
      </c>
      <c r="D180" s="12">
        <f t="shared" si="59"/>
        <v>0</v>
      </c>
      <c r="E180" s="13">
        <f t="shared" si="60"/>
        <v>0</v>
      </c>
      <c r="F180" s="12">
        <f t="shared" si="61"/>
        <v>0</v>
      </c>
      <c r="G180" s="12">
        <f t="shared" si="62"/>
        <v>0</v>
      </c>
      <c r="H180" s="12">
        <f t="shared" si="63"/>
        <v>0</v>
      </c>
      <c r="I180" s="13">
        <f t="shared" si="64"/>
        <v>0</v>
      </c>
      <c r="J180" s="12">
        <f t="shared" si="65"/>
        <v>0</v>
      </c>
      <c r="K180" s="13">
        <f t="shared" si="66"/>
        <v>0</v>
      </c>
      <c r="L180" s="12">
        <f t="shared" si="67"/>
        <v>0</v>
      </c>
      <c r="M180" s="13">
        <f t="shared" si="68"/>
        <v>0</v>
      </c>
      <c r="N180" s="12">
        <f t="shared" si="69"/>
        <v>0</v>
      </c>
      <c r="O180" s="13">
        <f t="shared" si="70"/>
        <v>0</v>
      </c>
      <c r="P180" s="13">
        <f t="shared" si="71"/>
        <v>0</v>
      </c>
      <c r="Q180" s="13">
        <f t="shared" si="72"/>
        <v>0</v>
      </c>
      <c r="R180" s="12">
        <f t="shared" si="73"/>
        <v>0</v>
      </c>
      <c r="S180" s="12">
        <f t="shared" si="74"/>
        <v>0</v>
      </c>
      <c r="T180" s="12">
        <f t="shared" si="75"/>
        <v>0</v>
      </c>
      <c r="U180" s="12">
        <f t="shared" si="76"/>
        <v>0</v>
      </c>
      <c r="V180" s="13">
        <f t="shared" si="77"/>
        <v>0</v>
      </c>
      <c r="W180" s="12">
        <f t="shared" si="78"/>
        <v>0</v>
      </c>
      <c r="X180" s="12">
        <f t="shared" si="84"/>
        <v>0</v>
      </c>
      <c r="Y180" s="12">
        <f t="shared" si="79"/>
        <v>0</v>
      </c>
      <c r="Z180" s="12">
        <f t="shared" si="80"/>
        <v>0</v>
      </c>
      <c r="AA180" s="14">
        <f t="shared" si="81"/>
        <v>0</v>
      </c>
      <c r="AB180" s="12">
        <f t="shared" si="82"/>
        <v>0</v>
      </c>
      <c r="AC180" s="15" t="b">
        <f>IF(OR(A180="",B180=""),FALSE,SubscribeQuotes(A180,B180))</f>
        <v>0</v>
      </c>
      <c r="AD180" s="13">
        <f t="shared" si="83"/>
        <v>0</v>
      </c>
    </row>
    <row r="181" spans="1:30">
      <c r="A181" s="9"/>
      <c r="B181" s="9"/>
      <c r="C181" s="10" t="str">
        <f t="shared" si="58"/>
        <v/>
      </c>
      <c r="D181" s="12">
        <f t="shared" si="59"/>
        <v>0</v>
      </c>
      <c r="E181" s="13">
        <f t="shared" si="60"/>
        <v>0</v>
      </c>
      <c r="F181" s="12">
        <f t="shared" si="61"/>
        <v>0</v>
      </c>
      <c r="G181" s="12">
        <f t="shared" si="62"/>
        <v>0</v>
      </c>
      <c r="H181" s="12">
        <f t="shared" si="63"/>
        <v>0</v>
      </c>
      <c r="I181" s="13">
        <f t="shared" si="64"/>
        <v>0</v>
      </c>
      <c r="J181" s="12">
        <f t="shared" si="65"/>
        <v>0</v>
      </c>
      <c r="K181" s="13">
        <f t="shared" si="66"/>
        <v>0</v>
      </c>
      <c r="L181" s="12">
        <f t="shared" si="67"/>
        <v>0</v>
      </c>
      <c r="M181" s="13">
        <f t="shared" si="68"/>
        <v>0</v>
      </c>
      <c r="N181" s="12">
        <f t="shared" si="69"/>
        <v>0</v>
      </c>
      <c r="O181" s="13">
        <f t="shared" si="70"/>
        <v>0</v>
      </c>
      <c r="P181" s="13">
        <f t="shared" si="71"/>
        <v>0</v>
      </c>
      <c r="Q181" s="13">
        <f t="shared" si="72"/>
        <v>0</v>
      </c>
      <c r="R181" s="12">
        <f t="shared" si="73"/>
        <v>0</v>
      </c>
      <c r="S181" s="12">
        <f t="shared" si="74"/>
        <v>0</v>
      </c>
      <c r="T181" s="12">
        <f t="shared" si="75"/>
        <v>0</v>
      </c>
      <c r="U181" s="12">
        <f t="shared" si="76"/>
        <v>0</v>
      </c>
      <c r="V181" s="13">
        <f t="shared" si="77"/>
        <v>0</v>
      </c>
      <c r="W181" s="12">
        <f t="shared" si="78"/>
        <v>0</v>
      </c>
      <c r="X181" s="12">
        <f t="shared" si="84"/>
        <v>0</v>
      </c>
      <c r="Y181" s="12">
        <f t="shared" si="79"/>
        <v>0</v>
      </c>
      <c r="Z181" s="12">
        <f t="shared" si="80"/>
        <v>0</v>
      </c>
      <c r="AA181" s="14">
        <f t="shared" si="81"/>
        <v>0</v>
      </c>
      <c r="AB181" s="12">
        <f t="shared" si="82"/>
        <v>0</v>
      </c>
      <c r="AC181" s="15" t="b">
        <f>IF(OR(A181="",B181=""),FALSE,SubscribeQuotes(A181,B181))</f>
        <v>0</v>
      </c>
      <c r="AD181" s="13">
        <f t="shared" si="83"/>
        <v>0</v>
      </c>
    </row>
    <row r="182" spans="1:30">
      <c r="A182" s="9"/>
      <c r="B182" s="9"/>
      <c r="C182" s="10" t="str">
        <f t="shared" si="58"/>
        <v/>
      </c>
      <c r="D182" s="12">
        <f t="shared" si="59"/>
        <v>0</v>
      </c>
      <c r="E182" s="13">
        <f t="shared" si="60"/>
        <v>0</v>
      </c>
      <c r="F182" s="12">
        <f t="shared" si="61"/>
        <v>0</v>
      </c>
      <c r="G182" s="12">
        <f t="shared" si="62"/>
        <v>0</v>
      </c>
      <c r="H182" s="12">
        <f t="shared" si="63"/>
        <v>0</v>
      </c>
      <c r="I182" s="13">
        <f t="shared" si="64"/>
        <v>0</v>
      </c>
      <c r="J182" s="12">
        <f t="shared" si="65"/>
        <v>0</v>
      </c>
      <c r="K182" s="13">
        <f t="shared" si="66"/>
        <v>0</v>
      </c>
      <c r="L182" s="12">
        <f t="shared" si="67"/>
        <v>0</v>
      </c>
      <c r="M182" s="13">
        <f t="shared" si="68"/>
        <v>0</v>
      </c>
      <c r="N182" s="12">
        <f t="shared" si="69"/>
        <v>0</v>
      </c>
      <c r="O182" s="13">
        <f t="shared" si="70"/>
        <v>0</v>
      </c>
      <c r="P182" s="13">
        <f t="shared" si="71"/>
        <v>0</v>
      </c>
      <c r="Q182" s="13">
        <f t="shared" si="72"/>
        <v>0</v>
      </c>
      <c r="R182" s="12">
        <f t="shared" si="73"/>
        <v>0</v>
      </c>
      <c r="S182" s="12">
        <f t="shared" si="74"/>
        <v>0</v>
      </c>
      <c r="T182" s="12">
        <f t="shared" si="75"/>
        <v>0</v>
      </c>
      <c r="U182" s="12">
        <f t="shared" si="76"/>
        <v>0</v>
      </c>
      <c r="V182" s="13">
        <f t="shared" si="77"/>
        <v>0</v>
      </c>
      <c r="W182" s="12">
        <f t="shared" si="78"/>
        <v>0</v>
      </c>
      <c r="X182" s="12">
        <f t="shared" si="84"/>
        <v>0</v>
      </c>
      <c r="Y182" s="12">
        <f t="shared" si="79"/>
        <v>0</v>
      </c>
      <c r="Z182" s="12">
        <f t="shared" si="80"/>
        <v>0</v>
      </c>
      <c r="AA182" s="14">
        <f t="shared" si="81"/>
        <v>0</v>
      </c>
      <c r="AB182" s="12">
        <f t="shared" si="82"/>
        <v>0</v>
      </c>
      <c r="AC182" s="15" t="b">
        <f>IF(OR(A182="",B182=""),FALSE,SubscribeQuotes(A182,B182))</f>
        <v>0</v>
      </c>
      <c r="AD182" s="13">
        <f t="shared" si="83"/>
        <v>0</v>
      </c>
    </row>
    <row r="183" spans="1:30">
      <c r="A183" s="9"/>
      <c r="B183" s="9"/>
      <c r="C183" s="10" t="str">
        <f t="shared" si="58"/>
        <v/>
      </c>
      <c r="D183" s="12">
        <f t="shared" si="59"/>
        <v>0</v>
      </c>
      <c r="E183" s="13">
        <f t="shared" si="60"/>
        <v>0</v>
      </c>
      <c r="F183" s="12">
        <f t="shared" si="61"/>
        <v>0</v>
      </c>
      <c r="G183" s="12">
        <f t="shared" si="62"/>
        <v>0</v>
      </c>
      <c r="H183" s="12">
        <f t="shared" si="63"/>
        <v>0</v>
      </c>
      <c r="I183" s="13">
        <f t="shared" si="64"/>
        <v>0</v>
      </c>
      <c r="J183" s="12">
        <f t="shared" si="65"/>
        <v>0</v>
      </c>
      <c r="K183" s="13">
        <f t="shared" si="66"/>
        <v>0</v>
      </c>
      <c r="L183" s="12">
        <f t="shared" si="67"/>
        <v>0</v>
      </c>
      <c r="M183" s="13">
        <f t="shared" si="68"/>
        <v>0</v>
      </c>
      <c r="N183" s="12">
        <f t="shared" si="69"/>
        <v>0</v>
      </c>
      <c r="O183" s="13">
        <f t="shared" si="70"/>
        <v>0</v>
      </c>
      <c r="P183" s="13">
        <f t="shared" si="71"/>
        <v>0</v>
      </c>
      <c r="Q183" s="13">
        <f t="shared" si="72"/>
        <v>0</v>
      </c>
      <c r="R183" s="12">
        <f t="shared" si="73"/>
        <v>0</v>
      </c>
      <c r="S183" s="12">
        <f t="shared" si="74"/>
        <v>0</v>
      </c>
      <c r="T183" s="12">
        <f t="shared" si="75"/>
        <v>0</v>
      </c>
      <c r="U183" s="12">
        <f t="shared" si="76"/>
        <v>0</v>
      </c>
      <c r="V183" s="13">
        <f t="shared" si="77"/>
        <v>0</v>
      </c>
      <c r="W183" s="12">
        <f t="shared" si="78"/>
        <v>0</v>
      </c>
      <c r="X183" s="12">
        <f t="shared" si="84"/>
        <v>0</v>
      </c>
      <c r="Y183" s="12">
        <f t="shared" si="79"/>
        <v>0</v>
      </c>
      <c r="Z183" s="12">
        <f t="shared" si="80"/>
        <v>0</v>
      </c>
      <c r="AA183" s="14">
        <f t="shared" si="81"/>
        <v>0</v>
      </c>
      <c r="AB183" s="12">
        <f t="shared" si="82"/>
        <v>0</v>
      </c>
      <c r="AC183" s="15" t="b">
        <f>IF(OR(A183="",B183=""),FALSE,SubscribeQuotes(A183,B183))</f>
        <v>0</v>
      </c>
      <c r="AD183" s="13">
        <f t="shared" si="83"/>
        <v>0</v>
      </c>
    </row>
    <row r="184" spans="1:30">
      <c r="A184" s="9"/>
      <c r="B184" s="9"/>
      <c r="C184" s="10" t="str">
        <f t="shared" si="58"/>
        <v/>
      </c>
      <c r="D184" s="12">
        <f t="shared" si="59"/>
        <v>0</v>
      </c>
      <c r="E184" s="13">
        <f t="shared" si="60"/>
        <v>0</v>
      </c>
      <c r="F184" s="12">
        <f t="shared" si="61"/>
        <v>0</v>
      </c>
      <c r="G184" s="12">
        <f t="shared" si="62"/>
        <v>0</v>
      </c>
      <c r="H184" s="12">
        <f t="shared" si="63"/>
        <v>0</v>
      </c>
      <c r="I184" s="13">
        <f t="shared" si="64"/>
        <v>0</v>
      </c>
      <c r="J184" s="12">
        <f t="shared" si="65"/>
        <v>0</v>
      </c>
      <c r="K184" s="13">
        <f t="shared" si="66"/>
        <v>0</v>
      </c>
      <c r="L184" s="12">
        <f t="shared" si="67"/>
        <v>0</v>
      </c>
      <c r="M184" s="13">
        <f t="shared" si="68"/>
        <v>0</v>
      </c>
      <c r="N184" s="12">
        <f t="shared" si="69"/>
        <v>0</v>
      </c>
      <c r="O184" s="13">
        <f t="shared" si="70"/>
        <v>0</v>
      </c>
      <c r="P184" s="13">
        <f t="shared" si="71"/>
        <v>0</v>
      </c>
      <c r="Q184" s="13">
        <f t="shared" si="72"/>
        <v>0</v>
      </c>
      <c r="R184" s="12">
        <f t="shared" si="73"/>
        <v>0</v>
      </c>
      <c r="S184" s="12">
        <f t="shared" si="74"/>
        <v>0</v>
      </c>
      <c r="T184" s="12">
        <f t="shared" si="75"/>
        <v>0</v>
      </c>
      <c r="U184" s="12">
        <f t="shared" si="76"/>
        <v>0</v>
      </c>
      <c r="V184" s="13">
        <f t="shared" si="77"/>
        <v>0</v>
      </c>
      <c r="W184" s="12">
        <f t="shared" si="78"/>
        <v>0</v>
      </c>
      <c r="X184" s="12">
        <f t="shared" si="84"/>
        <v>0</v>
      </c>
      <c r="Y184" s="12">
        <f t="shared" si="79"/>
        <v>0</v>
      </c>
      <c r="Z184" s="12">
        <f t="shared" si="80"/>
        <v>0</v>
      </c>
      <c r="AA184" s="14">
        <f t="shared" si="81"/>
        <v>0</v>
      </c>
      <c r="AB184" s="12">
        <f t="shared" si="82"/>
        <v>0</v>
      </c>
      <c r="AC184" s="15" t="b">
        <f>IF(OR(A184="",B184=""),FALSE,SubscribeQuotes(A184,B184))</f>
        <v>0</v>
      </c>
      <c r="AD184" s="13">
        <f t="shared" si="83"/>
        <v>0</v>
      </c>
    </row>
    <row r="185" spans="1:30">
      <c r="A185" s="9"/>
      <c r="B185" s="9"/>
      <c r="C185" s="10" t="str">
        <f t="shared" si="58"/>
        <v/>
      </c>
      <c r="D185" s="12">
        <f t="shared" si="59"/>
        <v>0</v>
      </c>
      <c r="E185" s="13">
        <f t="shared" si="60"/>
        <v>0</v>
      </c>
      <c r="F185" s="12">
        <f t="shared" si="61"/>
        <v>0</v>
      </c>
      <c r="G185" s="12">
        <f t="shared" si="62"/>
        <v>0</v>
      </c>
      <c r="H185" s="12">
        <f t="shared" si="63"/>
        <v>0</v>
      </c>
      <c r="I185" s="13">
        <f t="shared" si="64"/>
        <v>0</v>
      </c>
      <c r="J185" s="12">
        <f t="shared" si="65"/>
        <v>0</v>
      </c>
      <c r="K185" s="13">
        <f t="shared" si="66"/>
        <v>0</v>
      </c>
      <c r="L185" s="12">
        <f t="shared" si="67"/>
        <v>0</v>
      </c>
      <c r="M185" s="13">
        <f t="shared" si="68"/>
        <v>0</v>
      </c>
      <c r="N185" s="12">
        <f t="shared" si="69"/>
        <v>0</v>
      </c>
      <c r="O185" s="13">
        <f t="shared" si="70"/>
        <v>0</v>
      </c>
      <c r="P185" s="13">
        <f t="shared" si="71"/>
        <v>0</v>
      </c>
      <c r="Q185" s="13">
        <f t="shared" si="72"/>
        <v>0</v>
      </c>
      <c r="R185" s="12">
        <f t="shared" si="73"/>
        <v>0</v>
      </c>
      <c r="S185" s="12">
        <f t="shared" si="74"/>
        <v>0</v>
      </c>
      <c r="T185" s="12">
        <f t="shared" si="75"/>
        <v>0</v>
      </c>
      <c r="U185" s="12">
        <f t="shared" si="76"/>
        <v>0</v>
      </c>
      <c r="V185" s="13">
        <f t="shared" si="77"/>
        <v>0</v>
      </c>
      <c r="W185" s="12">
        <f t="shared" si="78"/>
        <v>0</v>
      </c>
      <c r="X185" s="12">
        <f t="shared" si="84"/>
        <v>0</v>
      </c>
      <c r="Y185" s="12">
        <f t="shared" si="79"/>
        <v>0</v>
      </c>
      <c r="Z185" s="12">
        <f t="shared" si="80"/>
        <v>0</v>
      </c>
      <c r="AA185" s="14">
        <f t="shared" si="81"/>
        <v>0</v>
      </c>
      <c r="AB185" s="12">
        <f t="shared" si="82"/>
        <v>0</v>
      </c>
      <c r="AC185" s="15" t="b">
        <f>IF(OR(A185="",B185=""),FALSE,SubscribeQuotes(A185,B185))</f>
        <v>0</v>
      </c>
      <c r="AD185" s="13">
        <f t="shared" si="83"/>
        <v>0</v>
      </c>
    </row>
    <row r="186" spans="1:30">
      <c r="A186" s="9"/>
      <c r="B186" s="9"/>
      <c r="C186" s="10" t="str">
        <f t="shared" si="58"/>
        <v/>
      </c>
      <c r="D186" s="12">
        <f t="shared" si="59"/>
        <v>0</v>
      </c>
      <c r="E186" s="13">
        <f t="shared" si="60"/>
        <v>0</v>
      </c>
      <c r="F186" s="12">
        <f t="shared" si="61"/>
        <v>0</v>
      </c>
      <c r="G186" s="12">
        <f t="shared" si="62"/>
        <v>0</v>
      </c>
      <c r="H186" s="12">
        <f t="shared" si="63"/>
        <v>0</v>
      </c>
      <c r="I186" s="13">
        <f t="shared" si="64"/>
        <v>0</v>
      </c>
      <c r="J186" s="12">
        <f t="shared" si="65"/>
        <v>0</v>
      </c>
      <c r="K186" s="13">
        <f t="shared" si="66"/>
        <v>0</v>
      </c>
      <c r="L186" s="12">
        <f t="shared" si="67"/>
        <v>0</v>
      </c>
      <c r="M186" s="13">
        <f t="shared" si="68"/>
        <v>0</v>
      </c>
      <c r="N186" s="12">
        <f t="shared" si="69"/>
        <v>0</v>
      </c>
      <c r="O186" s="13">
        <f t="shared" si="70"/>
        <v>0</v>
      </c>
      <c r="P186" s="13">
        <f t="shared" si="71"/>
        <v>0</v>
      </c>
      <c r="Q186" s="13">
        <f t="shared" si="72"/>
        <v>0</v>
      </c>
      <c r="R186" s="12">
        <f t="shared" si="73"/>
        <v>0</v>
      </c>
      <c r="S186" s="12">
        <f t="shared" si="74"/>
        <v>0</v>
      </c>
      <c r="T186" s="12">
        <f t="shared" si="75"/>
        <v>0</v>
      </c>
      <c r="U186" s="12">
        <f t="shared" si="76"/>
        <v>0</v>
      </c>
      <c r="V186" s="13">
        <f t="shared" si="77"/>
        <v>0</v>
      </c>
      <c r="W186" s="12">
        <f t="shared" si="78"/>
        <v>0</v>
      </c>
      <c r="X186" s="12">
        <f t="shared" si="84"/>
        <v>0</v>
      </c>
      <c r="Y186" s="12">
        <f t="shared" si="79"/>
        <v>0</v>
      </c>
      <c r="Z186" s="12">
        <f t="shared" si="80"/>
        <v>0</v>
      </c>
      <c r="AA186" s="14">
        <f t="shared" si="81"/>
        <v>0</v>
      </c>
      <c r="AB186" s="12">
        <f t="shared" si="82"/>
        <v>0</v>
      </c>
      <c r="AC186" s="15" t="b">
        <f>IF(OR(A186="",B186=""),FALSE,SubscribeQuotes(A186,B186))</f>
        <v>0</v>
      </c>
      <c r="AD186" s="13">
        <f t="shared" si="83"/>
        <v>0</v>
      </c>
    </row>
    <row r="187" spans="1:30">
      <c r="A187" s="9"/>
      <c r="B187" s="9"/>
      <c r="C187" s="10" t="str">
        <f t="shared" si="58"/>
        <v/>
      </c>
      <c r="D187" s="12">
        <f t="shared" si="59"/>
        <v>0</v>
      </c>
      <c r="E187" s="13">
        <f t="shared" si="60"/>
        <v>0</v>
      </c>
      <c r="F187" s="12">
        <f t="shared" si="61"/>
        <v>0</v>
      </c>
      <c r="G187" s="12">
        <f t="shared" si="62"/>
        <v>0</v>
      </c>
      <c r="H187" s="12">
        <f t="shared" si="63"/>
        <v>0</v>
      </c>
      <c r="I187" s="13">
        <f t="shared" si="64"/>
        <v>0</v>
      </c>
      <c r="J187" s="12">
        <f t="shared" si="65"/>
        <v>0</v>
      </c>
      <c r="K187" s="13">
        <f t="shared" si="66"/>
        <v>0</v>
      </c>
      <c r="L187" s="12">
        <f t="shared" si="67"/>
        <v>0</v>
      </c>
      <c r="M187" s="13">
        <f t="shared" si="68"/>
        <v>0</v>
      </c>
      <c r="N187" s="12">
        <f t="shared" si="69"/>
        <v>0</v>
      </c>
      <c r="O187" s="13">
        <f t="shared" si="70"/>
        <v>0</v>
      </c>
      <c r="P187" s="13">
        <f t="shared" si="71"/>
        <v>0</v>
      </c>
      <c r="Q187" s="13">
        <f t="shared" si="72"/>
        <v>0</v>
      </c>
      <c r="R187" s="12">
        <f t="shared" si="73"/>
        <v>0</v>
      </c>
      <c r="S187" s="12">
        <f t="shared" si="74"/>
        <v>0</v>
      </c>
      <c r="T187" s="12">
        <f t="shared" si="75"/>
        <v>0</v>
      </c>
      <c r="U187" s="12">
        <f t="shared" si="76"/>
        <v>0</v>
      </c>
      <c r="V187" s="13">
        <f t="shared" si="77"/>
        <v>0</v>
      </c>
      <c r="W187" s="12">
        <f t="shared" si="78"/>
        <v>0</v>
      </c>
      <c r="X187" s="12">
        <f t="shared" si="84"/>
        <v>0</v>
      </c>
      <c r="Y187" s="12">
        <f t="shared" si="79"/>
        <v>0</v>
      </c>
      <c r="Z187" s="12">
        <f t="shared" si="80"/>
        <v>0</v>
      </c>
      <c r="AA187" s="14">
        <f t="shared" si="81"/>
        <v>0</v>
      </c>
      <c r="AB187" s="12">
        <f t="shared" si="82"/>
        <v>0</v>
      </c>
      <c r="AC187" s="15" t="b">
        <f>IF(OR(A187="",B187=""),FALSE,SubscribeQuotes(A187,B187))</f>
        <v>0</v>
      </c>
      <c r="AD187" s="13">
        <f t="shared" si="83"/>
        <v>0</v>
      </c>
    </row>
    <row r="188" spans="1:30">
      <c r="A188" s="9"/>
      <c r="B188" s="9"/>
      <c r="C188" s="10" t="str">
        <f t="shared" si="58"/>
        <v/>
      </c>
      <c r="D188" s="12">
        <f t="shared" si="59"/>
        <v>0</v>
      </c>
      <c r="E188" s="13">
        <f t="shared" si="60"/>
        <v>0</v>
      </c>
      <c r="F188" s="12">
        <f t="shared" si="61"/>
        <v>0</v>
      </c>
      <c r="G188" s="12">
        <f t="shared" si="62"/>
        <v>0</v>
      </c>
      <c r="H188" s="12">
        <f t="shared" si="63"/>
        <v>0</v>
      </c>
      <c r="I188" s="13">
        <f t="shared" si="64"/>
        <v>0</v>
      </c>
      <c r="J188" s="12">
        <f t="shared" si="65"/>
        <v>0</v>
      </c>
      <c r="K188" s="13">
        <f t="shared" si="66"/>
        <v>0</v>
      </c>
      <c r="L188" s="12">
        <f t="shared" si="67"/>
        <v>0</v>
      </c>
      <c r="M188" s="13">
        <f t="shared" si="68"/>
        <v>0</v>
      </c>
      <c r="N188" s="12">
        <f t="shared" si="69"/>
        <v>0</v>
      </c>
      <c r="O188" s="13">
        <f t="shared" si="70"/>
        <v>0</v>
      </c>
      <c r="P188" s="13">
        <f t="shared" si="71"/>
        <v>0</v>
      </c>
      <c r="Q188" s="13">
        <f t="shared" si="72"/>
        <v>0</v>
      </c>
      <c r="R188" s="12">
        <f t="shared" si="73"/>
        <v>0</v>
      </c>
      <c r="S188" s="12">
        <f t="shared" si="74"/>
        <v>0</v>
      </c>
      <c r="T188" s="12">
        <f t="shared" si="75"/>
        <v>0</v>
      </c>
      <c r="U188" s="12">
        <f t="shared" si="76"/>
        <v>0</v>
      </c>
      <c r="V188" s="13">
        <f t="shared" si="77"/>
        <v>0</v>
      </c>
      <c r="W188" s="12">
        <f t="shared" si="78"/>
        <v>0</v>
      </c>
      <c r="X188" s="12">
        <f t="shared" si="84"/>
        <v>0</v>
      </c>
      <c r="Y188" s="12">
        <f t="shared" si="79"/>
        <v>0</v>
      </c>
      <c r="Z188" s="12">
        <f t="shared" si="80"/>
        <v>0</v>
      </c>
      <c r="AA188" s="14">
        <f t="shared" si="81"/>
        <v>0</v>
      </c>
      <c r="AB188" s="12">
        <f t="shared" si="82"/>
        <v>0</v>
      </c>
      <c r="AC188" s="15" t="b">
        <f>IF(OR(A188="",B188=""),FALSE,SubscribeQuotes(A188,B188))</f>
        <v>0</v>
      </c>
      <c r="AD188" s="13">
        <f t="shared" si="83"/>
        <v>0</v>
      </c>
    </row>
    <row r="189" spans="1:30">
      <c r="A189" s="9"/>
      <c r="B189" s="9"/>
      <c r="C189" s="10" t="str">
        <f t="shared" si="58"/>
        <v/>
      </c>
      <c r="D189" s="12">
        <f t="shared" si="59"/>
        <v>0</v>
      </c>
      <c r="E189" s="13">
        <f t="shared" si="60"/>
        <v>0</v>
      </c>
      <c r="F189" s="12">
        <f t="shared" si="61"/>
        <v>0</v>
      </c>
      <c r="G189" s="12">
        <f t="shared" si="62"/>
        <v>0</v>
      </c>
      <c r="H189" s="12">
        <f t="shared" si="63"/>
        <v>0</v>
      </c>
      <c r="I189" s="13">
        <f t="shared" si="64"/>
        <v>0</v>
      </c>
      <c r="J189" s="12">
        <f t="shared" si="65"/>
        <v>0</v>
      </c>
      <c r="K189" s="13">
        <f t="shared" si="66"/>
        <v>0</v>
      </c>
      <c r="L189" s="12">
        <f t="shared" si="67"/>
        <v>0</v>
      </c>
      <c r="M189" s="13">
        <f t="shared" si="68"/>
        <v>0</v>
      </c>
      <c r="N189" s="12">
        <f t="shared" si="69"/>
        <v>0</v>
      </c>
      <c r="O189" s="13">
        <f t="shared" si="70"/>
        <v>0</v>
      </c>
      <c r="P189" s="13">
        <f t="shared" si="71"/>
        <v>0</v>
      </c>
      <c r="Q189" s="13">
        <f t="shared" si="72"/>
        <v>0</v>
      </c>
      <c r="R189" s="12">
        <f t="shared" si="73"/>
        <v>0</v>
      </c>
      <c r="S189" s="12">
        <f t="shared" si="74"/>
        <v>0</v>
      </c>
      <c r="T189" s="12">
        <f t="shared" si="75"/>
        <v>0</v>
      </c>
      <c r="U189" s="12">
        <f t="shared" si="76"/>
        <v>0</v>
      </c>
      <c r="V189" s="13">
        <f t="shared" si="77"/>
        <v>0</v>
      </c>
      <c r="W189" s="12">
        <f t="shared" si="78"/>
        <v>0</v>
      </c>
      <c r="X189" s="12">
        <f t="shared" si="84"/>
        <v>0</v>
      </c>
      <c r="Y189" s="12">
        <f t="shared" si="79"/>
        <v>0</v>
      </c>
      <c r="Z189" s="12">
        <f t="shared" si="80"/>
        <v>0</v>
      </c>
      <c r="AA189" s="14">
        <f t="shared" si="81"/>
        <v>0</v>
      </c>
      <c r="AB189" s="12">
        <f t="shared" si="82"/>
        <v>0</v>
      </c>
      <c r="AC189" s="15" t="b">
        <f>IF(OR(A189="",B189=""),FALSE,SubscribeQuotes(A189,B189))</f>
        <v>0</v>
      </c>
      <c r="AD189" s="13">
        <f t="shared" si="83"/>
        <v>0</v>
      </c>
    </row>
    <row r="190" spans="1:30">
      <c r="A190" s="9"/>
      <c r="B190" s="9"/>
      <c r="C190" s="10" t="str">
        <f t="shared" si="58"/>
        <v/>
      </c>
      <c r="D190" s="12">
        <f t="shared" si="59"/>
        <v>0</v>
      </c>
      <c r="E190" s="13">
        <f t="shared" si="60"/>
        <v>0</v>
      </c>
      <c r="F190" s="12">
        <f t="shared" si="61"/>
        <v>0</v>
      </c>
      <c r="G190" s="12">
        <f t="shared" si="62"/>
        <v>0</v>
      </c>
      <c r="H190" s="12">
        <f t="shared" si="63"/>
        <v>0</v>
      </c>
      <c r="I190" s="13">
        <f t="shared" si="64"/>
        <v>0</v>
      </c>
      <c r="J190" s="12">
        <f t="shared" si="65"/>
        <v>0</v>
      </c>
      <c r="K190" s="13">
        <f t="shared" si="66"/>
        <v>0</v>
      </c>
      <c r="L190" s="12">
        <f t="shared" si="67"/>
        <v>0</v>
      </c>
      <c r="M190" s="13">
        <f t="shared" si="68"/>
        <v>0</v>
      </c>
      <c r="N190" s="12">
        <f t="shared" si="69"/>
        <v>0</v>
      </c>
      <c r="O190" s="13">
        <f t="shared" si="70"/>
        <v>0</v>
      </c>
      <c r="P190" s="13">
        <f t="shared" si="71"/>
        <v>0</v>
      </c>
      <c r="Q190" s="13">
        <f t="shared" si="72"/>
        <v>0</v>
      </c>
      <c r="R190" s="12">
        <f t="shared" si="73"/>
        <v>0</v>
      </c>
      <c r="S190" s="12">
        <f t="shared" si="74"/>
        <v>0</v>
      </c>
      <c r="T190" s="12">
        <f t="shared" si="75"/>
        <v>0</v>
      </c>
      <c r="U190" s="12">
        <f t="shared" si="76"/>
        <v>0</v>
      </c>
      <c r="V190" s="13">
        <f t="shared" si="77"/>
        <v>0</v>
      </c>
      <c r="W190" s="12">
        <f t="shared" si="78"/>
        <v>0</v>
      </c>
      <c r="X190" s="12">
        <f t="shared" si="84"/>
        <v>0</v>
      </c>
      <c r="Y190" s="12">
        <f t="shared" si="79"/>
        <v>0</v>
      </c>
      <c r="Z190" s="12">
        <f t="shared" si="80"/>
        <v>0</v>
      </c>
      <c r="AA190" s="14">
        <f t="shared" si="81"/>
        <v>0</v>
      </c>
      <c r="AB190" s="12">
        <f t="shared" si="82"/>
        <v>0</v>
      </c>
      <c r="AC190" s="15" t="b">
        <f>IF(OR(A190="",B190=""),FALSE,SubscribeQuotes(A190,B190))</f>
        <v>0</v>
      </c>
      <c r="AD190" s="13">
        <f t="shared" si="83"/>
        <v>0</v>
      </c>
    </row>
    <row r="191" spans="1:30">
      <c r="A191" s="9"/>
      <c r="B191" s="9"/>
      <c r="C191" s="10" t="str">
        <f t="shared" si="58"/>
        <v/>
      </c>
      <c r="D191" s="12">
        <f t="shared" si="59"/>
        <v>0</v>
      </c>
      <c r="E191" s="13">
        <f t="shared" si="60"/>
        <v>0</v>
      </c>
      <c r="F191" s="12">
        <f t="shared" si="61"/>
        <v>0</v>
      </c>
      <c r="G191" s="12">
        <f t="shared" si="62"/>
        <v>0</v>
      </c>
      <c r="H191" s="12">
        <f t="shared" si="63"/>
        <v>0</v>
      </c>
      <c r="I191" s="13">
        <f t="shared" si="64"/>
        <v>0</v>
      </c>
      <c r="J191" s="12">
        <f t="shared" si="65"/>
        <v>0</v>
      </c>
      <c r="K191" s="13">
        <f t="shared" si="66"/>
        <v>0</v>
      </c>
      <c r="L191" s="12">
        <f t="shared" si="67"/>
        <v>0</v>
      </c>
      <c r="M191" s="13">
        <f t="shared" si="68"/>
        <v>0</v>
      </c>
      <c r="N191" s="12">
        <f t="shared" si="69"/>
        <v>0</v>
      </c>
      <c r="O191" s="13">
        <f t="shared" si="70"/>
        <v>0</v>
      </c>
      <c r="P191" s="13">
        <f t="shared" si="71"/>
        <v>0</v>
      </c>
      <c r="Q191" s="13">
        <f t="shared" si="72"/>
        <v>0</v>
      </c>
      <c r="R191" s="12">
        <f t="shared" si="73"/>
        <v>0</v>
      </c>
      <c r="S191" s="12">
        <f t="shared" si="74"/>
        <v>0</v>
      </c>
      <c r="T191" s="12">
        <f t="shared" si="75"/>
        <v>0</v>
      </c>
      <c r="U191" s="12">
        <f t="shared" si="76"/>
        <v>0</v>
      </c>
      <c r="V191" s="13">
        <f t="shared" si="77"/>
        <v>0</v>
      </c>
      <c r="W191" s="12">
        <f t="shared" si="78"/>
        <v>0</v>
      </c>
      <c r="X191" s="12">
        <f t="shared" si="84"/>
        <v>0</v>
      </c>
      <c r="Y191" s="12">
        <f t="shared" si="79"/>
        <v>0</v>
      </c>
      <c r="Z191" s="12">
        <f t="shared" si="80"/>
        <v>0</v>
      </c>
      <c r="AA191" s="14">
        <f t="shared" si="81"/>
        <v>0</v>
      </c>
      <c r="AB191" s="12">
        <f t="shared" si="82"/>
        <v>0</v>
      </c>
      <c r="AC191" s="15" t="b">
        <f>IF(OR(A191="",B191=""),FALSE,SubscribeQuotes(A191,B191))</f>
        <v>0</v>
      </c>
      <c r="AD191" s="13">
        <f t="shared" si="83"/>
        <v>0</v>
      </c>
    </row>
    <row r="192" spans="1:30">
      <c r="A192" s="9"/>
      <c r="B192" s="9"/>
      <c r="C192" s="10" t="str">
        <f t="shared" si="58"/>
        <v/>
      </c>
      <c r="D192" s="12">
        <f t="shared" si="59"/>
        <v>0</v>
      </c>
      <c r="E192" s="13">
        <f t="shared" si="60"/>
        <v>0</v>
      </c>
      <c r="F192" s="12">
        <f t="shared" si="61"/>
        <v>0</v>
      </c>
      <c r="G192" s="12">
        <f t="shared" si="62"/>
        <v>0</v>
      </c>
      <c r="H192" s="12">
        <f t="shared" si="63"/>
        <v>0</v>
      </c>
      <c r="I192" s="13">
        <f t="shared" si="64"/>
        <v>0</v>
      </c>
      <c r="J192" s="12">
        <f t="shared" si="65"/>
        <v>0</v>
      </c>
      <c r="K192" s="13">
        <f t="shared" si="66"/>
        <v>0</v>
      </c>
      <c r="L192" s="12">
        <f t="shared" si="67"/>
        <v>0</v>
      </c>
      <c r="M192" s="13">
        <f t="shared" si="68"/>
        <v>0</v>
      </c>
      <c r="N192" s="12">
        <f t="shared" si="69"/>
        <v>0</v>
      </c>
      <c r="O192" s="13">
        <f t="shared" si="70"/>
        <v>0</v>
      </c>
      <c r="P192" s="13">
        <f t="shared" si="71"/>
        <v>0</v>
      </c>
      <c r="Q192" s="13">
        <f t="shared" si="72"/>
        <v>0</v>
      </c>
      <c r="R192" s="12">
        <f t="shared" si="73"/>
        <v>0</v>
      </c>
      <c r="S192" s="12">
        <f t="shared" si="74"/>
        <v>0</v>
      </c>
      <c r="T192" s="12">
        <f t="shared" si="75"/>
        <v>0</v>
      </c>
      <c r="U192" s="12">
        <f t="shared" si="76"/>
        <v>0</v>
      </c>
      <c r="V192" s="13">
        <f t="shared" si="77"/>
        <v>0</v>
      </c>
      <c r="W192" s="12">
        <f t="shared" si="78"/>
        <v>0</v>
      </c>
      <c r="X192" s="12">
        <f t="shared" si="84"/>
        <v>0</v>
      </c>
      <c r="Y192" s="12">
        <f t="shared" si="79"/>
        <v>0</v>
      </c>
      <c r="Z192" s="12">
        <f t="shared" si="80"/>
        <v>0</v>
      </c>
      <c r="AA192" s="14">
        <f t="shared" si="81"/>
        <v>0</v>
      </c>
      <c r="AB192" s="12">
        <f t="shared" si="82"/>
        <v>0</v>
      </c>
      <c r="AC192" s="15" t="b">
        <f>IF(OR(A192="",B192=""),FALSE,SubscribeQuotes(A192,B192))</f>
        <v>0</v>
      </c>
      <c r="AD192" s="13">
        <f t="shared" si="83"/>
        <v>0</v>
      </c>
    </row>
    <row r="193" spans="1:30">
      <c r="A193" s="9"/>
      <c r="B193" s="9"/>
      <c r="C193" s="10" t="str">
        <f t="shared" si="58"/>
        <v/>
      </c>
      <c r="D193" s="12">
        <f t="shared" si="59"/>
        <v>0</v>
      </c>
      <c r="E193" s="13">
        <f t="shared" si="60"/>
        <v>0</v>
      </c>
      <c r="F193" s="12">
        <f t="shared" si="61"/>
        <v>0</v>
      </c>
      <c r="G193" s="12">
        <f t="shared" si="62"/>
        <v>0</v>
      </c>
      <c r="H193" s="12">
        <f t="shared" si="63"/>
        <v>0</v>
      </c>
      <c r="I193" s="13">
        <f t="shared" si="64"/>
        <v>0</v>
      </c>
      <c r="J193" s="12">
        <f t="shared" si="65"/>
        <v>0</v>
      </c>
      <c r="K193" s="13">
        <f t="shared" si="66"/>
        <v>0</v>
      </c>
      <c r="L193" s="12">
        <f t="shared" si="67"/>
        <v>0</v>
      </c>
      <c r="M193" s="13">
        <f t="shared" si="68"/>
        <v>0</v>
      </c>
      <c r="N193" s="12">
        <f t="shared" si="69"/>
        <v>0</v>
      </c>
      <c r="O193" s="13">
        <f t="shared" si="70"/>
        <v>0</v>
      </c>
      <c r="P193" s="13">
        <f t="shared" si="71"/>
        <v>0</v>
      </c>
      <c r="Q193" s="13">
        <f t="shared" si="72"/>
        <v>0</v>
      </c>
      <c r="R193" s="12">
        <f t="shared" si="73"/>
        <v>0</v>
      </c>
      <c r="S193" s="12">
        <f t="shared" si="74"/>
        <v>0</v>
      </c>
      <c r="T193" s="12">
        <f t="shared" si="75"/>
        <v>0</v>
      </c>
      <c r="U193" s="12">
        <f t="shared" si="76"/>
        <v>0</v>
      </c>
      <c r="V193" s="13">
        <f t="shared" si="77"/>
        <v>0</v>
      </c>
      <c r="W193" s="12">
        <f t="shared" si="78"/>
        <v>0</v>
      </c>
      <c r="X193" s="12">
        <f t="shared" si="84"/>
        <v>0</v>
      </c>
      <c r="Y193" s="12">
        <f t="shared" si="79"/>
        <v>0</v>
      </c>
      <c r="Z193" s="12">
        <f t="shared" si="80"/>
        <v>0</v>
      </c>
      <c r="AA193" s="14">
        <f t="shared" si="81"/>
        <v>0</v>
      </c>
      <c r="AB193" s="12">
        <f t="shared" si="82"/>
        <v>0</v>
      </c>
      <c r="AC193" s="15" t="b">
        <f>IF(OR(A193="",B193=""),FALSE,SubscribeQuotes(A193,B193))</f>
        <v>0</v>
      </c>
      <c r="AD193" s="13">
        <f t="shared" si="83"/>
        <v>0</v>
      </c>
    </row>
    <row r="194" spans="1:30">
      <c r="A194" s="9"/>
      <c r="B194" s="9"/>
      <c r="C194" s="10" t="str">
        <f t="shared" si="58"/>
        <v/>
      </c>
      <c r="D194" s="12">
        <f t="shared" si="59"/>
        <v>0</v>
      </c>
      <c r="E194" s="13">
        <f t="shared" si="60"/>
        <v>0</v>
      </c>
      <c r="F194" s="12">
        <f t="shared" si="61"/>
        <v>0</v>
      </c>
      <c r="G194" s="12">
        <f t="shared" si="62"/>
        <v>0</v>
      </c>
      <c r="H194" s="12">
        <f t="shared" si="63"/>
        <v>0</v>
      </c>
      <c r="I194" s="13">
        <f t="shared" si="64"/>
        <v>0</v>
      </c>
      <c r="J194" s="12">
        <f t="shared" si="65"/>
        <v>0</v>
      </c>
      <c r="K194" s="13">
        <f t="shared" si="66"/>
        <v>0</v>
      </c>
      <c r="L194" s="12">
        <f t="shared" si="67"/>
        <v>0</v>
      </c>
      <c r="M194" s="13">
        <f t="shared" si="68"/>
        <v>0</v>
      </c>
      <c r="N194" s="12">
        <f t="shared" si="69"/>
        <v>0</v>
      </c>
      <c r="O194" s="13">
        <f t="shared" si="70"/>
        <v>0</v>
      </c>
      <c r="P194" s="13">
        <f t="shared" si="71"/>
        <v>0</v>
      </c>
      <c r="Q194" s="13">
        <f t="shared" si="72"/>
        <v>0</v>
      </c>
      <c r="R194" s="12">
        <f t="shared" si="73"/>
        <v>0</v>
      </c>
      <c r="S194" s="12">
        <f t="shared" si="74"/>
        <v>0</v>
      </c>
      <c r="T194" s="12">
        <f t="shared" si="75"/>
        <v>0</v>
      </c>
      <c r="U194" s="12">
        <f t="shared" si="76"/>
        <v>0</v>
      </c>
      <c r="V194" s="13">
        <f t="shared" si="77"/>
        <v>0</v>
      </c>
      <c r="W194" s="12">
        <f t="shared" si="78"/>
        <v>0</v>
      </c>
      <c r="X194" s="12">
        <f t="shared" ref="X194:X201" si="85">GetRTD(A194,B194,"UPPERCKT")</f>
        <v>0</v>
      </c>
      <c r="Y194" s="12">
        <f t="shared" si="79"/>
        <v>0</v>
      </c>
      <c r="Z194" s="12">
        <f t="shared" si="80"/>
        <v>0</v>
      </c>
      <c r="AA194" s="14">
        <f t="shared" si="81"/>
        <v>0</v>
      </c>
      <c r="AB194" s="12">
        <f t="shared" si="82"/>
        <v>0</v>
      </c>
      <c r="AC194" s="15" t="b">
        <f>IF(OR(A194="",B194=""),FALSE,SubscribeQuotes(A194,B194))</f>
        <v>0</v>
      </c>
      <c r="AD194" s="13">
        <f t="shared" si="83"/>
        <v>0</v>
      </c>
    </row>
    <row r="195" spans="1:30">
      <c r="A195" s="9"/>
      <c r="B195" s="9"/>
      <c r="C195" s="10" t="str">
        <f t="shared" ref="C195:C201" si="86">IF(D195&gt;0,"MKT DEPTH","")</f>
        <v/>
      </c>
      <c r="D195" s="12">
        <f t="shared" ref="D195:D201" si="87">GetRTD(A195,B195,"LAST")</f>
        <v>0</v>
      </c>
      <c r="E195" s="13">
        <f t="shared" ref="E195:E201" si="88">GetRTD(A195,B195,"NETQTY")</f>
        <v>0</v>
      </c>
      <c r="F195" s="12">
        <f t="shared" ref="F195:F201" si="89">GetRTD(A195,B195,"MTM")</f>
        <v>0</v>
      </c>
      <c r="G195" s="12">
        <f t="shared" ref="G195:G201" si="90">GetRTD(A195,B195,"PCTCHG")</f>
        <v>0</v>
      </c>
      <c r="H195" s="12">
        <f t="shared" ref="H195:H201" si="91">GetRTD(A195,B195,"NETCHG")</f>
        <v>0</v>
      </c>
      <c r="I195" s="13">
        <f t="shared" ref="I195:I201" si="92">GetRTD(A195,B195,"LASTSIZE")</f>
        <v>0</v>
      </c>
      <c r="J195" s="12">
        <f t="shared" ref="J195:J201" si="93">GetRTD(A195,B195,"BID")</f>
        <v>0</v>
      </c>
      <c r="K195" s="13">
        <f t="shared" ref="K195:K201" si="94">GetRTD(A195,B195,"BIDSIZE")</f>
        <v>0</v>
      </c>
      <c r="L195" s="12">
        <f t="shared" ref="L195:L201" si="95">GetRTD(A195,B195,"ASK")</f>
        <v>0</v>
      </c>
      <c r="M195" s="13">
        <f t="shared" ref="M195:M201" si="96">GetRTD(A195,B195,"ASKSIZE")</f>
        <v>0</v>
      </c>
      <c r="N195" s="12">
        <f t="shared" ref="N195:N201" si="97">GetRTD(A195,B195,"AVGPRICE")</f>
        <v>0</v>
      </c>
      <c r="O195" s="13">
        <f t="shared" ref="O195:O201" si="98">GetRTD(A195,B195,"VOLUME")</f>
        <v>0</v>
      </c>
      <c r="P195" s="13">
        <f t="shared" ref="P195:P201" si="99">GetRTD(A195,B195,"BUYQTY")</f>
        <v>0</v>
      </c>
      <c r="Q195" s="13">
        <f t="shared" ref="Q195:Q201" si="100">GetRTD(A195,B195,"SELLQTY")</f>
        <v>0</v>
      </c>
      <c r="R195" s="12">
        <f t="shared" ref="R195:R201" si="101">GetRTD(A195,B195,"OPEN")</f>
        <v>0</v>
      </c>
      <c r="S195" s="12">
        <f t="shared" ref="S195:S201" si="102">GetRTD(A195,B195,"HIGH")</f>
        <v>0</v>
      </c>
      <c r="T195" s="12">
        <f t="shared" ref="T195:T201" si="103">GetRTD(A195,B195,"LOW")</f>
        <v>0</v>
      </c>
      <c r="U195" s="12">
        <f t="shared" ref="U195:U201" si="104">GetRTD(A195,B195,"CLOSE")</f>
        <v>0</v>
      </c>
      <c r="V195" s="13">
        <f t="shared" ref="V195:V201" si="105">GetRTD(A195,B195,"OI")</f>
        <v>0</v>
      </c>
      <c r="W195" s="12">
        <f t="shared" ref="W195:W201" si="106">GetRTD(A195,B195,"LOWERCKT")</f>
        <v>0</v>
      </c>
      <c r="X195" s="12">
        <f t="shared" si="85"/>
        <v>0</v>
      </c>
      <c r="Y195" s="12">
        <f t="shared" ref="Y195:Y201" si="107">GetRTD(A195,B195,"YEARLYHIGH")</f>
        <v>0</v>
      </c>
      <c r="Z195" s="12">
        <f t="shared" ref="Z195:Z201" si="108">GetRTD(A195,B195,"YEARLYLOW")</f>
        <v>0</v>
      </c>
      <c r="AA195" s="14">
        <f t="shared" ref="AA195:AA201" si="109">GetRTD(A195,B195,"LTT")</f>
        <v>0</v>
      </c>
      <c r="AB195" s="12">
        <f t="shared" ref="AB195:AB201" si="110">GetRTD(A195,B195,"SPOT")</f>
        <v>0</v>
      </c>
      <c r="AC195" s="15" t="b">
        <f>IF(OR(A195="",B195=""),FALSE,SubscribeQuotes(A195,B195))</f>
        <v>0</v>
      </c>
      <c r="AD195" s="13">
        <f t="shared" ref="AD195:AD201" si="111">GetValueColor(B195,D195,"Ltp")</f>
        <v>0</v>
      </c>
    </row>
    <row r="196" spans="1:30">
      <c r="A196" s="9"/>
      <c r="B196" s="9"/>
      <c r="C196" s="10" t="str">
        <f t="shared" si="86"/>
        <v/>
      </c>
      <c r="D196" s="12">
        <f t="shared" si="87"/>
        <v>0</v>
      </c>
      <c r="E196" s="13">
        <f t="shared" si="88"/>
        <v>0</v>
      </c>
      <c r="F196" s="12">
        <f t="shared" si="89"/>
        <v>0</v>
      </c>
      <c r="G196" s="12">
        <f t="shared" si="90"/>
        <v>0</v>
      </c>
      <c r="H196" s="12">
        <f t="shared" si="91"/>
        <v>0</v>
      </c>
      <c r="I196" s="13">
        <f t="shared" si="92"/>
        <v>0</v>
      </c>
      <c r="J196" s="12">
        <f t="shared" si="93"/>
        <v>0</v>
      </c>
      <c r="K196" s="13">
        <f t="shared" si="94"/>
        <v>0</v>
      </c>
      <c r="L196" s="12">
        <f t="shared" si="95"/>
        <v>0</v>
      </c>
      <c r="M196" s="13">
        <f t="shared" si="96"/>
        <v>0</v>
      </c>
      <c r="N196" s="12">
        <f t="shared" si="97"/>
        <v>0</v>
      </c>
      <c r="O196" s="13">
        <f t="shared" si="98"/>
        <v>0</v>
      </c>
      <c r="P196" s="13">
        <f t="shared" si="99"/>
        <v>0</v>
      </c>
      <c r="Q196" s="13">
        <f t="shared" si="100"/>
        <v>0</v>
      </c>
      <c r="R196" s="12">
        <f t="shared" si="101"/>
        <v>0</v>
      </c>
      <c r="S196" s="12">
        <f t="shared" si="102"/>
        <v>0</v>
      </c>
      <c r="T196" s="12">
        <f t="shared" si="103"/>
        <v>0</v>
      </c>
      <c r="U196" s="12">
        <f t="shared" si="104"/>
        <v>0</v>
      </c>
      <c r="V196" s="13">
        <f t="shared" si="105"/>
        <v>0</v>
      </c>
      <c r="W196" s="12">
        <f t="shared" si="106"/>
        <v>0</v>
      </c>
      <c r="X196" s="12">
        <f t="shared" si="85"/>
        <v>0</v>
      </c>
      <c r="Y196" s="12">
        <f t="shared" si="107"/>
        <v>0</v>
      </c>
      <c r="Z196" s="12">
        <f t="shared" si="108"/>
        <v>0</v>
      </c>
      <c r="AA196" s="14">
        <f t="shared" si="109"/>
        <v>0</v>
      </c>
      <c r="AB196" s="12">
        <f t="shared" si="110"/>
        <v>0</v>
      </c>
      <c r="AC196" s="15" t="b">
        <f>IF(OR(A196="",B196=""),FALSE,SubscribeQuotes(A196,B196))</f>
        <v>0</v>
      </c>
      <c r="AD196" s="13">
        <f t="shared" si="111"/>
        <v>0</v>
      </c>
    </row>
    <row r="197" spans="1:30">
      <c r="A197" s="9"/>
      <c r="B197" s="9"/>
      <c r="C197" s="10" t="str">
        <f t="shared" si="86"/>
        <v/>
      </c>
      <c r="D197" s="12">
        <f t="shared" si="87"/>
        <v>0</v>
      </c>
      <c r="E197" s="13">
        <f t="shared" si="88"/>
        <v>0</v>
      </c>
      <c r="F197" s="12">
        <f t="shared" si="89"/>
        <v>0</v>
      </c>
      <c r="G197" s="12">
        <f t="shared" si="90"/>
        <v>0</v>
      </c>
      <c r="H197" s="12">
        <f t="shared" si="91"/>
        <v>0</v>
      </c>
      <c r="I197" s="13">
        <f t="shared" si="92"/>
        <v>0</v>
      </c>
      <c r="J197" s="12">
        <f t="shared" si="93"/>
        <v>0</v>
      </c>
      <c r="K197" s="13">
        <f t="shared" si="94"/>
        <v>0</v>
      </c>
      <c r="L197" s="12">
        <f t="shared" si="95"/>
        <v>0</v>
      </c>
      <c r="M197" s="13">
        <f t="shared" si="96"/>
        <v>0</v>
      </c>
      <c r="N197" s="12">
        <f t="shared" si="97"/>
        <v>0</v>
      </c>
      <c r="O197" s="13">
        <f t="shared" si="98"/>
        <v>0</v>
      </c>
      <c r="P197" s="13">
        <f t="shared" si="99"/>
        <v>0</v>
      </c>
      <c r="Q197" s="13">
        <f t="shared" si="100"/>
        <v>0</v>
      </c>
      <c r="R197" s="12">
        <f t="shared" si="101"/>
        <v>0</v>
      </c>
      <c r="S197" s="12">
        <f t="shared" si="102"/>
        <v>0</v>
      </c>
      <c r="T197" s="12">
        <f t="shared" si="103"/>
        <v>0</v>
      </c>
      <c r="U197" s="12">
        <f t="shared" si="104"/>
        <v>0</v>
      </c>
      <c r="V197" s="13">
        <f t="shared" si="105"/>
        <v>0</v>
      </c>
      <c r="W197" s="12">
        <f t="shared" si="106"/>
        <v>0</v>
      </c>
      <c r="X197" s="12">
        <f t="shared" si="85"/>
        <v>0</v>
      </c>
      <c r="Y197" s="12">
        <f t="shared" si="107"/>
        <v>0</v>
      </c>
      <c r="Z197" s="12">
        <f t="shared" si="108"/>
        <v>0</v>
      </c>
      <c r="AA197" s="14">
        <f t="shared" si="109"/>
        <v>0</v>
      </c>
      <c r="AB197" s="12">
        <f t="shared" si="110"/>
        <v>0</v>
      </c>
      <c r="AC197" s="15" t="b">
        <f>IF(OR(A197="",B197=""),FALSE,SubscribeQuotes(A197,B197))</f>
        <v>0</v>
      </c>
      <c r="AD197" s="13">
        <f t="shared" si="111"/>
        <v>0</v>
      </c>
    </row>
    <row r="198" spans="1:30">
      <c r="A198" s="9"/>
      <c r="B198" s="9"/>
      <c r="C198" s="10" t="str">
        <f t="shared" si="86"/>
        <v/>
      </c>
      <c r="D198" s="12">
        <f t="shared" si="87"/>
        <v>0</v>
      </c>
      <c r="E198" s="13">
        <f t="shared" si="88"/>
        <v>0</v>
      </c>
      <c r="F198" s="12">
        <f t="shared" si="89"/>
        <v>0</v>
      </c>
      <c r="G198" s="12">
        <f t="shared" si="90"/>
        <v>0</v>
      </c>
      <c r="H198" s="12">
        <f t="shared" si="91"/>
        <v>0</v>
      </c>
      <c r="I198" s="13">
        <f t="shared" si="92"/>
        <v>0</v>
      </c>
      <c r="J198" s="12">
        <f t="shared" si="93"/>
        <v>0</v>
      </c>
      <c r="K198" s="13">
        <f t="shared" si="94"/>
        <v>0</v>
      </c>
      <c r="L198" s="12">
        <f t="shared" si="95"/>
        <v>0</v>
      </c>
      <c r="M198" s="13">
        <f t="shared" si="96"/>
        <v>0</v>
      </c>
      <c r="N198" s="12">
        <f t="shared" si="97"/>
        <v>0</v>
      </c>
      <c r="O198" s="13">
        <f t="shared" si="98"/>
        <v>0</v>
      </c>
      <c r="P198" s="13">
        <f t="shared" si="99"/>
        <v>0</v>
      </c>
      <c r="Q198" s="13">
        <f t="shared" si="100"/>
        <v>0</v>
      </c>
      <c r="R198" s="12">
        <f t="shared" si="101"/>
        <v>0</v>
      </c>
      <c r="S198" s="12">
        <f t="shared" si="102"/>
        <v>0</v>
      </c>
      <c r="T198" s="12">
        <f t="shared" si="103"/>
        <v>0</v>
      </c>
      <c r="U198" s="12">
        <f t="shared" si="104"/>
        <v>0</v>
      </c>
      <c r="V198" s="13">
        <f t="shared" si="105"/>
        <v>0</v>
      </c>
      <c r="W198" s="12">
        <f t="shared" si="106"/>
        <v>0</v>
      </c>
      <c r="X198" s="12">
        <f t="shared" si="85"/>
        <v>0</v>
      </c>
      <c r="Y198" s="12">
        <f t="shared" si="107"/>
        <v>0</v>
      </c>
      <c r="Z198" s="12">
        <f t="shared" si="108"/>
        <v>0</v>
      </c>
      <c r="AA198" s="14">
        <f t="shared" si="109"/>
        <v>0</v>
      </c>
      <c r="AB198" s="12">
        <f t="shared" si="110"/>
        <v>0</v>
      </c>
      <c r="AC198" s="15" t="b">
        <f>IF(OR(A198="",B198=""),FALSE,SubscribeQuotes(A198,B198))</f>
        <v>0</v>
      </c>
      <c r="AD198" s="13">
        <f t="shared" si="111"/>
        <v>0</v>
      </c>
    </row>
    <row r="199" spans="1:30">
      <c r="A199" s="9"/>
      <c r="B199" s="9"/>
      <c r="C199" s="10" t="str">
        <f t="shared" si="86"/>
        <v/>
      </c>
      <c r="D199" s="12">
        <f t="shared" si="87"/>
        <v>0</v>
      </c>
      <c r="E199" s="13">
        <f t="shared" si="88"/>
        <v>0</v>
      </c>
      <c r="F199" s="12">
        <f t="shared" si="89"/>
        <v>0</v>
      </c>
      <c r="G199" s="12">
        <f t="shared" si="90"/>
        <v>0</v>
      </c>
      <c r="H199" s="12">
        <f t="shared" si="91"/>
        <v>0</v>
      </c>
      <c r="I199" s="13">
        <f t="shared" si="92"/>
        <v>0</v>
      </c>
      <c r="J199" s="12">
        <f t="shared" si="93"/>
        <v>0</v>
      </c>
      <c r="K199" s="13">
        <f t="shared" si="94"/>
        <v>0</v>
      </c>
      <c r="L199" s="12">
        <f t="shared" si="95"/>
        <v>0</v>
      </c>
      <c r="M199" s="13">
        <f t="shared" si="96"/>
        <v>0</v>
      </c>
      <c r="N199" s="12">
        <f t="shared" si="97"/>
        <v>0</v>
      </c>
      <c r="O199" s="13">
        <f t="shared" si="98"/>
        <v>0</v>
      </c>
      <c r="P199" s="13">
        <f t="shared" si="99"/>
        <v>0</v>
      </c>
      <c r="Q199" s="13">
        <f t="shared" si="100"/>
        <v>0</v>
      </c>
      <c r="R199" s="12">
        <f t="shared" si="101"/>
        <v>0</v>
      </c>
      <c r="S199" s="12">
        <f t="shared" si="102"/>
        <v>0</v>
      </c>
      <c r="T199" s="12">
        <f t="shared" si="103"/>
        <v>0</v>
      </c>
      <c r="U199" s="12">
        <f t="shared" si="104"/>
        <v>0</v>
      </c>
      <c r="V199" s="13">
        <f t="shared" si="105"/>
        <v>0</v>
      </c>
      <c r="W199" s="12">
        <f t="shared" si="106"/>
        <v>0</v>
      </c>
      <c r="X199" s="12">
        <f t="shared" si="85"/>
        <v>0</v>
      </c>
      <c r="Y199" s="12">
        <f t="shared" si="107"/>
        <v>0</v>
      </c>
      <c r="Z199" s="12">
        <f t="shared" si="108"/>
        <v>0</v>
      </c>
      <c r="AA199" s="14">
        <f t="shared" si="109"/>
        <v>0</v>
      </c>
      <c r="AB199" s="12">
        <f t="shared" si="110"/>
        <v>0</v>
      </c>
      <c r="AC199" s="15" t="b">
        <f>IF(OR(A199="",B199=""),FALSE,SubscribeQuotes(A199,B199))</f>
        <v>0</v>
      </c>
      <c r="AD199" s="13">
        <f t="shared" si="111"/>
        <v>0</v>
      </c>
    </row>
    <row r="200" spans="1:30">
      <c r="A200" s="9"/>
      <c r="B200" s="9"/>
      <c r="C200" s="10" t="str">
        <f t="shared" si="86"/>
        <v/>
      </c>
      <c r="D200" s="12">
        <f t="shared" si="87"/>
        <v>0</v>
      </c>
      <c r="E200" s="13">
        <f t="shared" si="88"/>
        <v>0</v>
      </c>
      <c r="F200" s="12">
        <f t="shared" si="89"/>
        <v>0</v>
      </c>
      <c r="G200" s="12">
        <f t="shared" si="90"/>
        <v>0</v>
      </c>
      <c r="H200" s="12">
        <f t="shared" si="91"/>
        <v>0</v>
      </c>
      <c r="I200" s="13">
        <f t="shared" si="92"/>
        <v>0</v>
      </c>
      <c r="J200" s="12">
        <f t="shared" si="93"/>
        <v>0</v>
      </c>
      <c r="K200" s="13">
        <f t="shared" si="94"/>
        <v>0</v>
      </c>
      <c r="L200" s="12">
        <f t="shared" si="95"/>
        <v>0</v>
      </c>
      <c r="M200" s="13">
        <f t="shared" si="96"/>
        <v>0</v>
      </c>
      <c r="N200" s="12">
        <f t="shared" si="97"/>
        <v>0</v>
      </c>
      <c r="O200" s="13">
        <f t="shared" si="98"/>
        <v>0</v>
      </c>
      <c r="P200" s="13">
        <f t="shared" si="99"/>
        <v>0</v>
      </c>
      <c r="Q200" s="13">
        <f t="shared" si="100"/>
        <v>0</v>
      </c>
      <c r="R200" s="12">
        <f t="shared" si="101"/>
        <v>0</v>
      </c>
      <c r="S200" s="12">
        <f t="shared" si="102"/>
        <v>0</v>
      </c>
      <c r="T200" s="12">
        <f t="shared" si="103"/>
        <v>0</v>
      </c>
      <c r="U200" s="12">
        <f t="shared" si="104"/>
        <v>0</v>
      </c>
      <c r="V200" s="13">
        <f t="shared" si="105"/>
        <v>0</v>
      </c>
      <c r="W200" s="12">
        <f t="shared" si="106"/>
        <v>0</v>
      </c>
      <c r="X200" s="12">
        <f t="shared" si="85"/>
        <v>0</v>
      </c>
      <c r="Y200" s="12">
        <f t="shared" si="107"/>
        <v>0</v>
      </c>
      <c r="Z200" s="12">
        <f t="shared" si="108"/>
        <v>0</v>
      </c>
      <c r="AA200" s="14">
        <f t="shared" si="109"/>
        <v>0</v>
      </c>
      <c r="AB200" s="12">
        <f t="shared" si="110"/>
        <v>0</v>
      </c>
      <c r="AC200" s="15" t="b">
        <f>IF(OR(A200="",B200=""),FALSE,SubscribeQuotes(A200,B200))</f>
        <v>0</v>
      </c>
      <c r="AD200" s="13">
        <f t="shared" si="111"/>
        <v>0</v>
      </c>
    </row>
    <row r="201" spans="1:30">
      <c r="A201" s="9"/>
      <c r="B201" s="9"/>
      <c r="C201" s="10" t="str">
        <f t="shared" si="86"/>
        <v/>
      </c>
      <c r="D201" s="12">
        <f t="shared" si="87"/>
        <v>0</v>
      </c>
      <c r="E201" s="13">
        <f t="shared" si="88"/>
        <v>0</v>
      </c>
      <c r="F201" s="12">
        <f t="shared" si="89"/>
        <v>0</v>
      </c>
      <c r="G201" s="12">
        <f t="shared" si="90"/>
        <v>0</v>
      </c>
      <c r="H201" s="12">
        <f t="shared" si="91"/>
        <v>0</v>
      </c>
      <c r="I201" s="13">
        <f t="shared" si="92"/>
        <v>0</v>
      </c>
      <c r="J201" s="12">
        <f t="shared" si="93"/>
        <v>0</v>
      </c>
      <c r="K201" s="13">
        <f t="shared" si="94"/>
        <v>0</v>
      </c>
      <c r="L201" s="12">
        <f t="shared" si="95"/>
        <v>0</v>
      </c>
      <c r="M201" s="13">
        <f t="shared" si="96"/>
        <v>0</v>
      </c>
      <c r="N201" s="12">
        <f t="shared" si="97"/>
        <v>0</v>
      </c>
      <c r="O201" s="13">
        <f t="shared" si="98"/>
        <v>0</v>
      </c>
      <c r="P201" s="13">
        <f t="shared" si="99"/>
        <v>0</v>
      </c>
      <c r="Q201" s="13">
        <f t="shared" si="100"/>
        <v>0</v>
      </c>
      <c r="R201" s="12">
        <f t="shared" si="101"/>
        <v>0</v>
      </c>
      <c r="S201" s="12">
        <f t="shared" si="102"/>
        <v>0</v>
      </c>
      <c r="T201" s="12">
        <f t="shared" si="103"/>
        <v>0</v>
      </c>
      <c r="U201" s="12">
        <f t="shared" si="104"/>
        <v>0</v>
      </c>
      <c r="V201" s="13">
        <f t="shared" si="105"/>
        <v>0</v>
      </c>
      <c r="W201" s="12">
        <f t="shared" si="106"/>
        <v>0</v>
      </c>
      <c r="X201" s="12">
        <f t="shared" si="85"/>
        <v>0</v>
      </c>
      <c r="Y201" s="12">
        <f t="shared" si="107"/>
        <v>0</v>
      </c>
      <c r="Z201" s="12">
        <f t="shared" si="108"/>
        <v>0</v>
      </c>
      <c r="AA201" s="14">
        <f t="shared" si="109"/>
        <v>0</v>
      </c>
      <c r="AB201" s="12">
        <f t="shared" si="110"/>
        <v>0</v>
      </c>
      <c r="AC201" s="15" t="b">
        <f>IF(OR(A201="",B201=""),FALSE,SubscribeQuotes(A201,B201))</f>
        <v>0</v>
      </c>
      <c r="AD201" s="13">
        <f t="shared" si="111"/>
        <v>0</v>
      </c>
    </row>
    <row r="202" spans="1:30" ht="14.25" customHeight="1"/>
  </sheetData>
  <sheetProtection password="CC3D" sheet="1" objects="1" scenarios="1" formatCells="0" formatColumns="0" formatRows="0"/>
  <conditionalFormatting sqref="D2:D201">
    <cfRule type="expression" dxfId="2" priority="2">
      <formula>AD2=-1</formula>
    </cfRule>
    <cfRule type="expression" dxfId="1" priority="3">
      <formula>AD2=1</formula>
    </cfRule>
  </conditionalFormatting>
  <conditionalFormatting sqref="C2:C201">
    <cfRule type="containsText" dxfId="0" priority="1" operator="containsText" text="MKT DEPTH">
      <formula>NOT(ISERROR(SEARCH("MKT DEPTH",C2)))</formula>
    </cfRule>
  </conditionalFormatting>
  <dataValidations count="1">
    <dataValidation type="list" allowBlank="1" showInputMessage="1" showErrorMessage="1" sqref="A2:A201">
      <formula1>"NSE_EQ,NSE_FO,MCX_FO,NCD_FO,BCD_FO,BSE_EQ,NSE_INDEX,BSE_INDEX"</formula1>
    </dataValidation>
  </dataValidations>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6"/>
  <dimension ref="A1:J32"/>
  <sheetViews>
    <sheetView showGridLines="0" workbookViewId="0">
      <selection activeCell="B1" sqref="B1"/>
    </sheetView>
  </sheetViews>
  <sheetFormatPr defaultColWidth="0" defaultRowHeight="14.25" customHeight="1" zeroHeight="1"/>
  <cols>
    <col min="1" max="1" width="40.7109375" style="4" customWidth="1"/>
    <col min="2" max="2" width="99.85546875" style="4" customWidth="1"/>
    <col min="3" max="3" width="40.7109375" style="6" customWidth="1"/>
    <col min="4" max="10" width="0" style="4" hidden="1" customWidth="1"/>
    <col min="11" max="16384" width="9.140625" style="4" hidden="1"/>
  </cols>
  <sheetData>
    <row r="1" spans="1:3">
      <c r="A1" s="6"/>
      <c r="B1" s="20" t="s">
        <v>32</v>
      </c>
    </row>
    <row r="2" spans="1:3" ht="45" customHeight="1">
      <c r="A2" s="7"/>
      <c r="B2" s="27" t="s">
        <v>33</v>
      </c>
      <c r="C2" s="8"/>
    </row>
    <row r="3" spans="1:3" ht="45" customHeight="1">
      <c r="A3" s="7"/>
      <c r="B3" s="28"/>
      <c r="C3" s="8"/>
    </row>
    <row r="4" spans="1:3" ht="45" customHeight="1">
      <c r="A4" s="7"/>
      <c r="B4" s="28"/>
      <c r="C4" s="8"/>
    </row>
    <row r="5" spans="1:3" ht="45" customHeight="1">
      <c r="A5" s="7"/>
      <c r="B5" s="28"/>
      <c r="C5" s="8"/>
    </row>
    <row r="6" spans="1:3" ht="45" customHeight="1">
      <c r="A6" s="7"/>
      <c r="B6" s="28"/>
      <c r="C6" s="8"/>
    </row>
    <row r="7" spans="1:3" ht="45" customHeight="1">
      <c r="A7" s="7"/>
      <c r="B7" s="28"/>
      <c r="C7" s="8"/>
    </row>
    <row r="8" spans="1:3" ht="45" customHeight="1">
      <c r="A8" s="7"/>
      <c r="B8" s="28"/>
      <c r="C8" s="8"/>
    </row>
    <row r="9" spans="1:3" ht="45" customHeight="1">
      <c r="A9" s="7"/>
      <c r="B9" s="28"/>
      <c r="C9" s="8"/>
    </row>
    <row r="10" spans="1:3" ht="45" customHeight="1">
      <c r="A10" s="7"/>
      <c r="B10" s="28"/>
      <c r="C10" s="8"/>
    </row>
    <row r="11" spans="1:3" ht="45" customHeight="1">
      <c r="A11" s="7"/>
      <c r="B11" s="28"/>
      <c r="C11" s="8"/>
    </row>
    <row r="12" spans="1:3" ht="45" customHeight="1">
      <c r="A12" s="7"/>
      <c r="B12" s="28"/>
      <c r="C12" s="8"/>
    </row>
    <row r="13" spans="1:3" ht="45" customHeight="1">
      <c r="A13" s="7"/>
      <c r="B13" s="28"/>
      <c r="C13" s="8"/>
    </row>
    <row r="14" spans="1:3" ht="45" customHeight="1">
      <c r="A14" s="7"/>
      <c r="B14" s="28"/>
      <c r="C14" s="8"/>
    </row>
    <row r="15" spans="1:3" ht="45" customHeight="1">
      <c r="A15" s="7"/>
      <c r="B15" s="28"/>
      <c r="C15" s="8"/>
    </row>
    <row r="16" spans="1:3" ht="45" customHeight="1">
      <c r="A16" s="7"/>
      <c r="B16" s="28"/>
      <c r="C16" s="8"/>
    </row>
    <row r="17" spans="1:3" ht="45" customHeight="1">
      <c r="A17" s="7"/>
      <c r="B17" s="28"/>
      <c r="C17" s="8"/>
    </row>
    <row r="18" spans="1:3" ht="45" customHeight="1">
      <c r="A18" s="7"/>
      <c r="B18" s="28"/>
      <c r="C18" s="8"/>
    </row>
    <row r="19" spans="1:3" ht="45" customHeight="1">
      <c r="A19" s="7"/>
      <c r="B19" s="28"/>
      <c r="C19" s="8"/>
    </row>
    <row r="20" spans="1:3" ht="45" customHeight="1">
      <c r="A20" s="7"/>
      <c r="B20" s="28"/>
      <c r="C20" s="8"/>
    </row>
    <row r="21" spans="1:3" ht="45" customHeight="1">
      <c r="A21" s="7"/>
      <c r="B21" s="28"/>
      <c r="C21" s="8"/>
    </row>
    <row r="22" spans="1:3" ht="45" customHeight="1">
      <c r="A22" s="7"/>
      <c r="B22" s="28"/>
      <c r="C22" s="8"/>
    </row>
    <row r="23" spans="1:3" ht="45" customHeight="1">
      <c r="A23" s="7"/>
      <c r="B23" s="28"/>
      <c r="C23" s="8"/>
    </row>
    <row r="24" spans="1:3" ht="45" customHeight="1">
      <c r="A24" s="7"/>
      <c r="B24" s="28"/>
      <c r="C24" s="8"/>
    </row>
    <row r="25" spans="1:3" ht="45" customHeight="1">
      <c r="A25" s="7"/>
      <c r="B25" s="28"/>
      <c r="C25" s="8"/>
    </row>
    <row r="26" spans="1:3" ht="45" customHeight="1">
      <c r="A26" s="7"/>
      <c r="B26" s="28"/>
      <c r="C26" s="8"/>
    </row>
    <row r="27" spans="1:3" ht="45" customHeight="1">
      <c r="A27" s="7"/>
      <c r="B27" s="28"/>
      <c r="C27" s="8"/>
    </row>
    <row r="28" spans="1:3" ht="45" customHeight="1">
      <c r="A28" s="7"/>
      <c r="B28" s="28"/>
      <c r="C28" s="8"/>
    </row>
    <row r="29" spans="1:3" ht="45" customHeight="1">
      <c r="A29" s="7"/>
      <c r="B29" s="28"/>
      <c r="C29" s="8"/>
    </row>
    <row r="30" spans="1:3" ht="45" customHeight="1">
      <c r="A30" s="7"/>
      <c r="B30" s="29"/>
      <c r="C30" s="8"/>
    </row>
    <row r="31" spans="1:3">
      <c r="A31" s="6"/>
      <c r="B31" s="6"/>
    </row>
    <row r="32" spans="1:3" ht="15" hidden="1" customHeight="1">
      <c r="B32" s="5" t="s">
        <v>5</v>
      </c>
    </row>
  </sheetData>
  <sheetProtection password="CC3D" sheet="1" objects="1" scenarios="1"/>
  <mergeCells count="1">
    <mergeCell ref="B2:B30"/>
  </mergeCells>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Market_Watch</vt:lpstr>
      <vt:lpstr>Terms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Tech-PC</dc:creator>
  <cp:lastModifiedBy>Windows User</cp:lastModifiedBy>
  <dcterms:created xsi:type="dcterms:W3CDTF">2006-09-16T00:00:00Z</dcterms:created>
  <dcterms:modified xsi:type="dcterms:W3CDTF">2018-04-04T12:44:36Z</dcterms:modified>
</cp:coreProperties>
</file>