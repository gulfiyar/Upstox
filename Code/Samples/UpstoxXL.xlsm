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iva\Downloads\UpstoxNet\UpstoxNet\Samples\"/>
    </mc:Choice>
  </mc:AlternateContent>
  <bookViews>
    <workbookView xWindow="240" yWindow="105" windowWidth="14805" windowHeight="8010"/>
  </bookViews>
  <sheets>
    <sheet name="Dashboard" sheetId="2" r:id="rId1"/>
    <sheet name="Market_Watch" sheetId="11" r:id="rId2"/>
    <sheet name="Excel_Template" sheetId="12" r:id="rId3"/>
    <sheet name="Terms" sheetId="10" r:id="rId4"/>
  </sheets>
  <functionGroups builtInGroupCount="18"/>
  <definedNames>
    <definedName name="_xlnm._FilterDatabase" localSheetId="0" hidden="1">Dashboard!$D$2:$AA$2</definedName>
    <definedName name="Excel_Open_Date" localSheetId="2">Excel_Template!$B$35</definedName>
    <definedName name="Excel_Open_Time" localSheetId="2">Excel_Template!$B$34</definedName>
    <definedName name="IsLive" localSheetId="2">Excel_Template!$C$24</definedName>
    <definedName name="IsSqOffTime" localSheetId="2">Excel_Template!$C$7</definedName>
    <definedName name="IsTrdBeginTime" localSheetId="2">Excel_Template!$C$4</definedName>
    <definedName name="IsTrdEndTime" localSheetId="2">Excel_Template!$C$6</definedName>
    <definedName name="IsTrdTime" localSheetId="2">Excel_Template!$C$5</definedName>
    <definedName name="MaxEntry" localSheetId="2">Excel_Template!$B$10</definedName>
    <definedName name="MaxLoss" localSheetId="2">Excel_Template!$B$9</definedName>
    <definedName name="MaxLossAll" localSheetId="2">Excel_Template!$B$20</definedName>
    <definedName name="MaxPositions" localSheetId="2">Excel_Template!$B$21</definedName>
    <definedName name="MaxProfit" localSheetId="2">Excel_Template!$B$8</definedName>
    <definedName name="MaxProfitAll" localSheetId="2">Excel_Template!$B$19</definedName>
    <definedName name="MTMAll" localSheetId="2">Excel_Template!$B$30</definedName>
    <definedName name="NoofLots" localSheetId="2">Excel_Template!$B$4</definedName>
    <definedName name="StgyCode" localSheetId="2">Excel_Template!$B$18</definedName>
    <definedName name="StoplossPct" localSheetId="2">Excel_Template!$B$12</definedName>
    <definedName name="StopOnSlHit" localSheetId="2">Excel_Template!$C$15</definedName>
    <definedName name="StopOnTgtHit" localSheetId="2">Excel_Template!$C$14</definedName>
    <definedName name="System_Time" localSheetId="2">Excel_Template!$B$33</definedName>
    <definedName name="TargetPct" localSheetId="2">Excel_Template!$B$11</definedName>
    <definedName name="TradeValue" localSheetId="2">Excel_Template!$B$3</definedName>
    <definedName name="TrailPct" localSheetId="2">Excel_Template!$B$13</definedName>
  </definedNames>
  <calcPr calcId="152511" calcOnSave="0"/>
</workbook>
</file>

<file path=xl/calcChain.xml><?xml version="1.0" encoding="utf-8"?>
<calcChain xmlns="http://schemas.openxmlformats.org/spreadsheetml/2006/main">
  <c r="D4" i="2" l="1"/>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3" i="2"/>
  <c r="AH4" i="11"/>
  <c r="AH6" i="11"/>
  <c r="AH8" i="11"/>
  <c r="AH10" i="11"/>
  <c r="AH12" i="11"/>
  <c r="AH14" i="11"/>
  <c r="AH16" i="11"/>
  <c r="AH18" i="11"/>
  <c r="AH20" i="11"/>
  <c r="AH22" i="11"/>
  <c r="AH24" i="11"/>
  <c r="AH26" i="11"/>
  <c r="AH28" i="11"/>
  <c r="AH30" i="11"/>
  <c r="AH32" i="11"/>
  <c r="AH34" i="11"/>
  <c r="AH36" i="11"/>
  <c r="AH38" i="11"/>
  <c r="AH40" i="11"/>
  <c r="AH42" i="11"/>
  <c r="AH44" i="11"/>
  <c r="AH46" i="11"/>
  <c r="AH48" i="11"/>
  <c r="AH50" i="11"/>
  <c r="AH52" i="11"/>
  <c r="AH54" i="11"/>
  <c r="AH56" i="11"/>
  <c r="AH58" i="11"/>
  <c r="AH60" i="11"/>
  <c r="AH62" i="11"/>
  <c r="AH64" i="11"/>
  <c r="AH66" i="11"/>
  <c r="AH68" i="11"/>
  <c r="AH70" i="11"/>
  <c r="AH72" i="11"/>
  <c r="AH74" i="11"/>
  <c r="AH76" i="11"/>
  <c r="AH78" i="11"/>
  <c r="AH80" i="11"/>
  <c r="AH82" i="11"/>
  <c r="AH84" i="11"/>
  <c r="AH86" i="11"/>
  <c r="AH88" i="11"/>
  <c r="AH90" i="11"/>
  <c r="AH92" i="11"/>
  <c r="AH94" i="11"/>
  <c r="AH96" i="11"/>
  <c r="AH98" i="11"/>
  <c r="AH100" i="11"/>
  <c r="AH102" i="11"/>
  <c r="AH104" i="11"/>
  <c r="AH106" i="11"/>
  <c r="AH108" i="11"/>
  <c r="AH110" i="11"/>
  <c r="AH112" i="11"/>
  <c r="AH114" i="11"/>
  <c r="AH116" i="11"/>
  <c r="AH118" i="11"/>
  <c r="AH120" i="11"/>
  <c r="AH122" i="11"/>
  <c r="AH124" i="11"/>
  <c r="AH126" i="11"/>
  <c r="AH128" i="11"/>
  <c r="AH130" i="11"/>
  <c r="AH132" i="11"/>
  <c r="AH134" i="11"/>
  <c r="AH136" i="11"/>
  <c r="AH138" i="11"/>
  <c r="AH140" i="11"/>
  <c r="AH142" i="11"/>
  <c r="AH144" i="11"/>
  <c r="AH146" i="11"/>
  <c r="AH148" i="11"/>
  <c r="AH150" i="11"/>
  <c r="AH152" i="11"/>
  <c r="AH154" i="11"/>
  <c r="AH156" i="11"/>
  <c r="AH158" i="11"/>
  <c r="AH160" i="11"/>
  <c r="AH162" i="11"/>
  <c r="AH164" i="11"/>
  <c r="AH166" i="11"/>
  <c r="AH168" i="11"/>
  <c r="AH170" i="11"/>
  <c r="AH172" i="11"/>
  <c r="AH174" i="11"/>
  <c r="AH176" i="11"/>
  <c r="AH178" i="11"/>
  <c r="AH180" i="11"/>
  <c r="AH182" i="11"/>
  <c r="AH184" i="11"/>
  <c r="AH186" i="11"/>
  <c r="AH188" i="11"/>
  <c r="AH190" i="11"/>
  <c r="AH192" i="11"/>
  <c r="AH194" i="11"/>
  <c r="AH196" i="11"/>
  <c r="AH198" i="11"/>
  <c r="AH200" i="11"/>
  <c r="D3" i="11"/>
  <c r="F3" i="11"/>
  <c r="H3" i="11"/>
  <c r="J3" i="11"/>
  <c r="L3" i="11"/>
  <c r="N3" i="11"/>
  <c r="P3" i="11"/>
  <c r="R3" i="11"/>
  <c r="T3" i="11"/>
  <c r="V3" i="11"/>
  <c r="X3" i="11"/>
  <c r="Z3" i="11"/>
  <c r="AB3" i="11"/>
  <c r="AD3" i="11"/>
  <c r="AF3" i="11"/>
  <c r="AI3" i="11"/>
  <c r="G4" i="12"/>
  <c r="I4" i="12"/>
  <c r="K4" i="12"/>
  <c r="H5" i="12"/>
  <c r="J5" i="12"/>
  <c r="G6" i="12"/>
  <c r="I6" i="12"/>
  <c r="K6" i="12"/>
  <c r="H7" i="12"/>
  <c r="J7" i="12"/>
  <c r="G8" i="12"/>
  <c r="AH5" i="11"/>
  <c r="AH9" i="11"/>
  <c r="AH13" i="11"/>
  <c r="AH17" i="11"/>
  <c r="AH21" i="11"/>
  <c r="AH25" i="11"/>
  <c r="AH29" i="11"/>
  <c r="AH33" i="11"/>
  <c r="AH37" i="11"/>
  <c r="AH41" i="11"/>
  <c r="AH45" i="11"/>
  <c r="AH49" i="11"/>
  <c r="AH53" i="11"/>
  <c r="AH57" i="11"/>
  <c r="AH61" i="11"/>
  <c r="AH65" i="11"/>
  <c r="AH69" i="11"/>
  <c r="AH73" i="11"/>
  <c r="AH77" i="11"/>
  <c r="AH81" i="11"/>
  <c r="AH85" i="11"/>
  <c r="AH89" i="11"/>
  <c r="AH93" i="11"/>
  <c r="AH97" i="11"/>
  <c r="AH101" i="11"/>
  <c r="AH105" i="11"/>
  <c r="AH109" i="11"/>
  <c r="AH113" i="11"/>
  <c r="AH117" i="11"/>
  <c r="AH121" i="11"/>
  <c r="AH125" i="11"/>
  <c r="AH129" i="11"/>
  <c r="AH133" i="11"/>
  <c r="AH137" i="11"/>
  <c r="AH141" i="11"/>
  <c r="AH145" i="11"/>
  <c r="AH149" i="11"/>
  <c r="AH153" i="11"/>
  <c r="AH157" i="11"/>
  <c r="AH161" i="11"/>
  <c r="AH165" i="11"/>
  <c r="AH169" i="11"/>
  <c r="AH173" i="11"/>
  <c r="AH177" i="11"/>
  <c r="AH181" i="11"/>
  <c r="AH185" i="11"/>
  <c r="AH189" i="11"/>
  <c r="AH193" i="11"/>
  <c r="AH197" i="11"/>
  <c r="AH201" i="11"/>
  <c r="G3" i="11"/>
  <c r="K3" i="11"/>
  <c r="O3" i="11"/>
  <c r="S3" i="11"/>
  <c r="W3" i="11"/>
  <c r="AA3" i="11"/>
  <c r="AE3" i="11"/>
  <c r="AH2" i="11"/>
  <c r="J4" i="12"/>
  <c r="I5" i="12"/>
  <c r="H6" i="12"/>
  <c r="G7" i="12"/>
  <c r="K7" i="12"/>
  <c r="I8" i="12"/>
  <c r="K8" i="12"/>
  <c r="H9" i="12"/>
  <c r="J9" i="12"/>
  <c r="G10" i="12"/>
  <c r="I10" i="12"/>
  <c r="K10" i="12"/>
  <c r="H11" i="12"/>
  <c r="J11" i="12"/>
  <c r="G12" i="12"/>
  <c r="I12" i="12"/>
  <c r="K12" i="12"/>
  <c r="H13" i="12"/>
  <c r="J13" i="12"/>
  <c r="G14" i="12"/>
  <c r="I14" i="12"/>
  <c r="K14" i="12"/>
  <c r="H15" i="12"/>
  <c r="J15" i="12"/>
  <c r="G16" i="12"/>
  <c r="I16" i="12"/>
  <c r="K16" i="12"/>
  <c r="H17" i="12"/>
  <c r="J17" i="12"/>
  <c r="G18" i="12"/>
  <c r="I18" i="12"/>
  <c r="K18" i="12"/>
  <c r="H19" i="12"/>
  <c r="J19" i="12"/>
  <c r="G20" i="12"/>
  <c r="I20" i="12"/>
  <c r="K20" i="12"/>
  <c r="H21" i="12"/>
  <c r="J21" i="12"/>
  <c r="G22" i="12"/>
  <c r="I22" i="12"/>
  <c r="K22" i="12"/>
  <c r="H23" i="12"/>
  <c r="J23" i="12"/>
  <c r="G24" i="12"/>
  <c r="I24" i="12"/>
  <c r="K24" i="12"/>
  <c r="H25" i="12"/>
  <c r="J25" i="12"/>
  <c r="G26" i="12"/>
  <c r="I26" i="12"/>
  <c r="K26" i="12"/>
  <c r="H27" i="12"/>
  <c r="J27" i="12"/>
  <c r="G28" i="12"/>
  <c r="I28" i="12"/>
  <c r="K28" i="12"/>
  <c r="H29" i="12"/>
  <c r="J29" i="12"/>
  <c r="G30" i="12"/>
  <c r="I30" i="12"/>
  <c r="K30" i="12"/>
  <c r="H31" i="12"/>
  <c r="J31" i="12"/>
  <c r="G32" i="12"/>
  <c r="I32" i="12"/>
  <c r="K32" i="12"/>
  <c r="H33" i="12"/>
  <c r="J33" i="12"/>
  <c r="AH3" i="11"/>
  <c r="AH51" i="11"/>
  <c r="AH91" i="11"/>
  <c r="AH123" i="11"/>
  <c r="AH155" i="11"/>
  <c r="AH187" i="11"/>
  <c r="M3" i="11"/>
  <c r="H4" i="12"/>
  <c r="J8" i="12"/>
  <c r="H10" i="12"/>
  <c r="J12" i="12"/>
  <c r="H14" i="12"/>
  <c r="K15" i="12"/>
  <c r="I17" i="12"/>
  <c r="K19" i="12"/>
  <c r="I21" i="12"/>
  <c r="G23" i="12"/>
  <c r="I25" i="12"/>
  <c r="K27" i="12"/>
  <c r="I29" i="12"/>
  <c r="G31" i="12"/>
  <c r="J32" i="12"/>
  <c r="G34" i="12"/>
  <c r="H35" i="12"/>
  <c r="G36" i="12"/>
  <c r="K36" i="12"/>
  <c r="J37" i="12"/>
  <c r="I38" i="12"/>
  <c r="H39" i="12"/>
  <c r="G40" i="12"/>
  <c r="K40" i="12"/>
  <c r="G42" i="12"/>
  <c r="K42" i="12"/>
  <c r="J43" i="12"/>
  <c r="K44" i="12"/>
  <c r="J45" i="12"/>
  <c r="I46" i="12"/>
  <c r="H47" i="12"/>
  <c r="G48" i="12"/>
  <c r="K48" i="12"/>
  <c r="J49" i="12"/>
  <c r="AH7" i="11"/>
  <c r="AH15" i="11"/>
  <c r="AH23" i="11"/>
  <c r="AH31" i="11"/>
  <c r="AH39" i="11"/>
  <c r="AH47" i="11"/>
  <c r="AH55" i="11"/>
  <c r="AH63" i="11"/>
  <c r="AH71" i="11"/>
  <c r="AH79" i="11"/>
  <c r="AH87" i="11"/>
  <c r="AH95" i="11"/>
  <c r="AH103" i="11"/>
  <c r="AH111" i="11"/>
  <c r="AH119" i="11"/>
  <c r="AH127" i="11"/>
  <c r="AH135" i="11"/>
  <c r="AH143" i="11"/>
  <c r="AH151" i="11"/>
  <c r="AH159" i="11"/>
  <c r="AH167" i="11"/>
  <c r="AH175" i="11"/>
  <c r="AH183" i="11"/>
  <c r="AH191" i="11"/>
  <c r="AH199" i="11"/>
  <c r="I3" i="11"/>
  <c r="Q3" i="11"/>
  <c r="Y3" i="11"/>
  <c r="AG3" i="11"/>
  <c r="G5" i="12"/>
  <c r="J6" i="12"/>
  <c r="H8" i="12"/>
  <c r="G9" i="12"/>
  <c r="K9" i="12"/>
  <c r="J10" i="12"/>
  <c r="I11" i="12"/>
  <c r="H12" i="12"/>
  <c r="G13" i="12"/>
  <c r="K13" i="12"/>
  <c r="J14" i="12"/>
  <c r="I15" i="12"/>
  <c r="H16" i="12"/>
  <c r="G17" i="12"/>
  <c r="K17" i="12"/>
  <c r="J18" i="12"/>
  <c r="I19" i="12"/>
  <c r="H20" i="12"/>
  <c r="G21" i="12"/>
  <c r="K21" i="12"/>
  <c r="J22" i="12"/>
  <c r="I23" i="12"/>
  <c r="H24" i="12"/>
  <c r="G25" i="12"/>
  <c r="K25" i="12"/>
  <c r="J26" i="12"/>
  <c r="I27" i="12"/>
  <c r="H28" i="12"/>
  <c r="G29" i="12"/>
  <c r="K29" i="12"/>
  <c r="J30" i="12"/>
  <c r="I31" i="12"/>
  <c r="H32" i="12"/>
  <c r="G33" i="12"/>
  <c r="K33" i="12"/>
  <c r="H34" i="12"/>
  <c r="J34" i="12"/>
  <c r="G35" i="12"/>
  <c r="I35" i="12"/>
  <c r="K35" i="12"/>
  <c r="H36" i="12"/>
  <c r="J36" i="12"/>
  <c r="G37" i="12"/>
  <c r="I37" i="12"/>
  <c r="K37" i="12"/>
  <c r="H38" i="12"/>
  <c r="J38" i="12"/>
  <c r="G39" i="12"/>
  <c r="I39" i="12"/>
  <c r="K39" i="12"/>
  <c r="H40" i="12"/>
  <c r="J40" i="12"/>
  <c r="G41" i="12"/>
  <c r="I41" i="12"/>
  <c r="K41" i="12"/>
  <c r="H42" i="12"/>
  <c r="J42" i="12"/>
  <c r="G43" i="12"/>
  <c r="I43" i="12"/>
  <c r="K43" i="12"/>
  <c r="H44" i="12"/>
  <c r="J44" i="12"/>
  <c r="G45" i="12"/>
  <c r="I45" i="12"/>
  <c r="K45" i="12"/>
  <c r="H46" i="12"/>
  <c r="J46" i="12"/>
  <c r="G47" i="12"/>
  <c r="I47" i="12"/>
  <c r="K47" i="12"/>
  <c r="H48" i="12"/>
  <c r="J48" i="12"/>
  <c r="G49" i="12"/>
  <c r="I49" i="12"/>
  <c r="K49" i="12"/>
  <c r="AH11" i="11"/>
  <c r="AH19" i="11"/>
  <c r="AH27" i="11"/>
  <c r="AH35" i="11"/>
  <c r="AH43" i="11"/>
  <c r="AH59" i="11"/>
  <c r="AH67" i="11"/>
  <c r="AH75" i="11"/>
  <c r="AH83" i="11"/>
  <c r="AH99" i="11"/>
  <c r="AH107" i="11"/>
  <c r="AH115" i="11"/>
  <c r="AH131" i="11"/>
  <c r="AH139" i="11"/>
  <c r="AH147" i="11"/>
  <c r="AH163" i="11"/>
  <c r="AH171" i="11"/>
  <c r="AH179" i="11"/>
  <c r="AH195" i="11"/>
  <c r="E3" i="11"/>
  <c r="U3" i="11"/>
  <c r="AC3" i="11"/>
  <c r="K5" i="12"/>
  <c r="I7" i="12"/>
  <c r="I9" i="12"/>
  <c r="G11" i="12"/>
  <c r="K11" i="12"/>
  <c r="I13" i="12"/>
  <c r="G15" i="12"/>
  <c r="J16" i="12"/>
  <c r="H18" i="12"/>
  <c r="G19" i="12"/>
  <c r="J20" i="12"/>
  <c r="H22" i="12"/>
  <c r="K23" i="12"/>
  <c r="J24" i="12"/>
  <c r="H26" i="12"/>
  <c r="G27" i="12"/>
  <c r="J28" i="12"/>
  <c r="H30" i="12"/>
  <c r="K31" i="12"/>
  <c r="I33" i="12"/>
  <c r="I34" i="12"/>
  <c r="K34" i="12"/>
  <c r="J35" i="12"/>
  <c r="I36" i="12"/>
  <c r="H37" i="12"/>
  <c r="G38" i="12"/>
  <c r="K38" i="12"/>
  <c r="J39" i="12"/>
  <c r="I40" i="12"/>
  <c r="H41" i="12"/>
  <c r="J41" i="12"/>
  <c r="I42" i="12"/>
  <c r="H43" i="12"/>
  <c r="G44" i="12"/>
  <c r="I44" i="12"/>
  <c r="H45" i="12"/>
  <c r="G46" i="12"/>
  <c r="K46" i="12"/>
  <c r="J47" i="12"/>
  <c r="I48" i="12"/>
  <c r="H49" i="12"/>
  <c r="G3" i="12"/>
  <c r="C3" i="11" l="1"/>
  <c r="D4" i="11"/>
  <c r="F4" i="11"/>
  <c r="H4" i="11"/>
  <c r="J4" i="11"/>
  <c r="L4" i="11"/>
  <c r="N4" i="11"/>
  <c r="P4" i="11"/>
  <c r="R4" i="11"/>
  <c r="T4" i="11"/>
  <c r="V4" i="11"/>
  <c r="X4" i="11"/>
  <c r="Z4" i="11"/>
  <c r="AB4" i="11"/>
  <c r="AD4" i="11"/>
  <c r="AF4" i="11"/>
  <c r="AI4" i="11"/>
  <c r="E4" i="11"/>
  <c r="G4" i="11"/>
  <c r="I4" i="11"/>
  <c r="K4" i="11"/>
  <c r="M4" i="11"/>
  <c r="O4" i="11"/>
  <c r="Q4" i="11"/>
  <c r="S4" i="11"/>
  <c r="U4" i="11"/>
  <c r="W4" i="11"/>
  <c r="Y4" i="11"/>
  <c r="AA4" i="11"/>
  <c r="AC4" i="11"/>
  <c r="AE4" i="11"/>
  <c r="AG4" i="11"/>
  <c r="C4" i="11" l="1"/>
  <c r="E5" i="11"/>
  <c r="G5" i="11"/>
  <c r="I5" i="11"/>
  <c r="K5" i="11"/>
  <c r="M5" i="11"/>
  <c r="O5" i="11"/>
  <c r="S5" i="11"/>
  <c r="W5" i="11"/>
  <c r="AA5" i="11"/>
  <c r="AE5" i="11"/>
  <c r="D5" i="11"/>
  <c r="F5" i="11"/>
  <c r="H5" i="11"/>
  <c r="J5" i="11"/>
  <c r="L5" i="11"/>
  <c r="N5" i="11"/>
  <c r="P5" i="11"/>
  <c r="R5" i="11"/>
  <c r="T5" i="11"/>
  <c r="V5" i="11"/>
  <c r="X5" i="11"/>
  <c r="Z5" i="11"/>
  <c r="AB5" i="11"/>
  <c r="AD5" i="11"/>
  <c r="AF5" i="11"/>
  <c r="AI5" i="11"/>
  <c r="Q5" i="11"/>
  <c r="U5" i="11"/>
  <c r="Y5" i="11"/>
  <c r="AC5" i="11"/>
  <c r="AG5" i="11"/>
  <c r="C5" i="11" l="1"/>
  <c r="E6" i="11"/>
  <c r="G6" i="11"/>
  <c r="I6" i="11"/>
  <c r="K6" i="11"/>
  <c r="M6" i="11"/>
  <c r="O6" i="11"/>
  <c r="Q6" i="11"/>
  <c r="S6" i="11"/>
  <c r="U6" i="11"/>
  <c r="W6" i="11"/>
  <c r="Y6" i="11"/>
  <c r="AC6" i="11"/>
  <c r="AG6" i="11"/>
  <c r="D6" i="11"/>
  <c r="F6" i="11"/>
  <c r="H6" i="11"/>
  <c r="J6" i="11"/>
  <c r="L6" i="11"/>
  <c r="N6" i="11"/>
  <c r="P6" i="11"/>
  <c r="R6" i="11"/>
  <c r="T6" i="11"/>
  <c r="V6" i="11"/>
  <c r="X6" i="11"/>
  <c r="Z6" i="11"/>
  <c r="AB6" i="11"/>
  <c r="AD6" i="11"/>
  <c r="AF6" i="11"/>
  <c r="AI6" i="11"/>
  <c r="AA6" i="11"/>
  <c r="AE6" i="11"/>
  <c r="C6" i="11" l="1"/>
  <c r="E7" i="11"/>
  <c r="G7" i="11"/>
  <c r="I7" i="11"/>
  <c r="K7" i="11"/>
  <c r="M7" i="11"/>
  <c r="O7" i="11"/>
  <c r="Q7" i="11"/>
  <c r="S7" i="11"/>
  <c r="U7" i="11"/>
  <c r="Y7" i="11"/>
  <c r="AC7" i="11"/>
  <c r="AG7" i="11"/>
  <c r="D7" i="11"/>
  <c r="F7" i="11"/>
  <c r="H7" i="11"/>
  <c r="J7" i="11"/>
  <c r="L7" i="11"/>
  <c r="N7" i="11"/>
  <c r="P7" i="11"/>
  <c r="R7" i="11"/>
  <c r="T7" i="11"/>
  <c r="V7" i="11"/>
  <c r="X7" i="11"/>
  <c r="Z7" i="11"/>
  <c r="AB7" i="11"/>
  <c r="AD7" i="11"/>
  <c r="AF7" i="11"/>
  <c r="AI7" i="11"/>
  <c r="W7" i="11"/>
  <c r="AA7" i="11"/>
  <c r="AE7" i="11"/>
  <c r="C7" i="11" l="1"/>
  <c r="E8" i="11"/>
  <c r="G8" i="11"/>
  <c r="I8" i="11"/>
  <c r="K8" i="11"/>
  <c r="M8" i="11"/>
  <c r="O8" i="11"/>
  <c r="Q8" i="11"/>
  <c r="S8" i="11"/>
  <c r="U8" i="11"/>
  <c r="W8" i="11"/>
  <c r="Y8" i="11"/>
  <c r="AC8" i="11"/>
  <c r="AG8" i="11"/>
  <c r="D8" i="11"/>
  <c r="F8" i="11"/>
  <c r="H8" i="11"/>
  <c r="J8" i="11"/>
  <c r="L8" i="11"/>
  <c r="N8" i="11"/>
  <c r="P8" i="11"/>
  <c r="R8" i="11"/>
  <c r="T8" i="11"/>
  <c r="V8" i="11"/>
  <c r="X8" i="11"/>
  <c r="Z8" i="11"/>
  <c r="AB8" i="11"/>
  <c r="AD8" i="11"/>
  <c r="AF8" i="11"/>
  <c r="AI8" i="11"/>
  <c r="AA8" i="11"/>
  <c r="AE8" i="11"/>
  <c r="C8" i="11" l="1"/>
  <c r="E9" i="11"/>
  <c r="G9" i="11"/>
  <c r="I9" i="11"/>
  <c r="K9" i="11"/>
  <c r="M9" i="11"/>
  <c r="O9" i="11"/>
  <c r="Q9" i="11"/>
  <c r="S9" i="11"/>
  <c r="U9" i="11"/>
  <c r="Y9" i="11"/>
  <c r="AC9" i="11"/>
  <c r="AG9" i="11"/>
  <c r="D9" i="11"/>
  <c r="F9" i="11"/>
  <c r="H9" i="11"/>
  <c r="J9" i="11"/>
  <c r="L9" i="11"/>
  <c r="N9" i="11"/>
  <c r="P9" i="11"/>
  <c r="R9" i="11"/>
  <c r="T9" i="11"/>
  <c r="V9" i="11"/>
  <c r="X9" i="11"/>
  <c r="Z9" i="11"/>
  <c r="AB9" i="11"/>
  <c r="AD9" i="11"/>
  <c r="AF9" i="11"/>
  <c r="AI9" i="11"/>
  <c r="W9" i="11"/>
  <c r="AA9" i="11"/>
  <c r="AE9" i="11"/>
  <c r="C9" i="11" l="1"/>
  <c r="E10" i="11"/>
  <c r="G10" i="11"/>
  <c r="I10" i="11"/>
  <c r="K10" i="11"/>
  <c r="M10" i="11"/>
  <c r="O10" i="11"/>
  <c r="Q10" i="11"/>
  <c r="S10" i="11"/>
  <c r="U10" i="11"/>
  <c r="W10" i="11"/>
  <c r="AA10" i="11"/>
  <c r="AE10" i="11"/>
  <c r="D10" i="11"/>
  <c r="F10" i="11"/>
  <c r="H10" i="11"/>
  <c r="J10" i="11"/>
  <c r="L10" i="11"/>
  <c r="N10" i="11"/>
  <c r="P10" i="11"/>
  <c r="R10" i="11"/>
  <c r="T10" i="11"/>
  <c r="V10" i="11"/>
  <c r="X10" i="11"/>
  <c r="Z10" i="11"/>
  <c r="AB10" i="11"/>
  <c r="AD10" i="11"/>
  <c r="AF10" i="11"/>
  <c r="AI10" i="11"/>
  <c r="Y10" i="11"/>
  <c r="AC10" i="11"/>
  <c r="AG10" i="11"/>
  <c r="C10" i="11" l="1"/>
  <c r="E11" i="11"/>
  <c r="G11" i="11"/>
  <c r="I11" i="11"/>
  <c r="K11" i="11"/>
  <c r="M11" i="11"/>
  <c r="O11" i="11"/>
  <c r="Q11" i="11"/>
  <c r="S11" i="11"/>
  <c r="U11" i="11"/>
  <c r="W11" i="11"/>
  <c r="AA11" i="11"/>
  <c r="AE11" i="11"/>
  <c r="D11" i="11"/>
  <c r="F11" i="11"/>
  <c r="H11" i="11"/>
  <c r="J11" i="11"/>
  <c r="L11" i="11"/>
  <c r="N11" i="11"/>
  <c r="P11" i="11"/>
  <c r="R11" i="11"/>
  <c r="T11" i="11"/>
  <c r="V11" i="11"/>
  <c r="X11" i="11"/>
  <c r="Z11" i="11"/>
  <c r="AB11" i="11"/>
  <c r="AD11" i="11"/>
  <c r="AF11" i="11"/>
  <c r="AI11" i="11"/>
  <c r="Y11" i="11"/>
  <c r="AC11" i="11"/>
  <c r="AG11" i="11"/>
  <c r="C11" i="11" l="1"/>
  <c r="E12" i="11"/>
  <c r="G12" i="11"/>
  <c r="I12" i="11"/>
  <c r="K12" i="11"/>
  <c r="M12" i="11"/>
  <c r="O12" i="11"/>
  <c r="Q12" i="11"/>
  <c r="S12" i="11"/>
  <c r="U12" i="11"/>
  <c r="W12" i="11"/>
  <c r="AA12" i="11"/>
  <c r="AE12" i="11"/>
  <c r="D12" i="11"/>
  <c r="F12" i="11"/>
  <c r="H12" i="11"/>
  <c r="J12" i="11"/>
  <c r="L12" i="11"/>
  <c r="N12" i="11"/>
  <c r="P12" i="11"/>
  <c r="R12" i="11"/>
  <c r="T12" i="11"/>
  <c r="V12" i="11"/>
  <c r="X12" i="11"/>
  <c r="Z12" i="11"/>
  <c r="AB12" i="11"/>
  <c r="AD12" i="11"/>
  <c r="AF12" i="11"/>
  <c r="AI12" i="11"/>
  <c r="Y12" i="11"/>
  <c r="AC12" i="11"/>
  <c r="AG12" i="11"/>
  <c r="C12" i="11" l="1"/>
  <c r="E13" i="11"/>
  <c r="G13" i="11"/>
  <c r="I13" i="11"/>
  <c r="K13" i="11"/>
  <c r="M13" i="11"/>
  <c r="O13" i="11"/>
  <c r="Q13" i="11"/>
  <c r="S13" i="11"/>
  <c r="U13" i="11"/>
  <c r="W13" i="11"/>
  <c r="AA13" i="11"/>
  <c r="AG13" i="11"/>
  <c r="D13" i="11"/>
  <c r="F13" i="11"/>
  <c r="H13" i="11"/>
  <c r="J13" i="11"/>
  <c r="L13" i="11"/>
  <c r="N13" i="11"/>
  <c r="P13" i="11"/>
  <c r="R13" i="11"/>
  <c r="T13" i="11"/>
  <c r="V13" i="11"/>
  <c r="X13" i="11"/>
  <c r="Z13" i="11"/>
  <c r="AB13" i="11"/>
  <c r="AD13" i="11"/>
  <c r="AF13" i="11"/>
  <c r="AI13" i="11"/>
  <c r="Y13" i="11"/>
  <c r="AC13" i="11"/>
  <c r="AE13" i="11"/>
  <c r="C13" i="11" l="1"/>
  <c r="E14" i="11"/>
  <c r="G14" i="11"/>
  <c r="I14" i="11"/>
  <c r="K14" i="11"/>
  <c r="M14" i="11"/>
  <c r="O14" i="11"/>
  <c r="Q14" i="11"/>
  <c r="S14" i="11"/>
  <c r="U14" i="11"/>
  <c r="Y14" i="11"/>
  <c r="AC14" i="11"/>
  <c r="AG14" i="11"/>
  <c r="D14" i="11"/>
  <c r="F14" i="11"/>
  <c r="H14" i="11"/>
  <c r="J14" i="11"/>
  <c r="L14" i="11"/>
  <c r="N14" i="11"/>
  <c r="P14" i="11"/>
  <c r="R14" i="11"/>
  <c r="T14" i="11"/>
  <c r="V14" i="11"/>
  <c r="X14" i="11"/>
  <c r="Z14" i="11"/>
  <c r="AB14" i="11"/>
  <c r="AD14" i="11"/>
  <c r="AF14" i="11"/>
  <c r="AI14" i="11"/>
  <c r="W14" i="11"/>
  <c r="AA14" i="11"/>
  <c r="AE14" i="11"/>
  <c r="C14" i="11" l="1"/>
  <c r="E15" i="11"/>
  <c r="G15" i="11"/>
  <c r="I15" i="11"/>
  <c r="K15" i="11"/>
  <c r="M15" i="11"/>
  <c r="O15" i="11"/>
  <c r="Q15" i="11"/>
  <c r="S15" i="11"/>
  <c r="U15" i="11"/>
  <c r="Y15" i="11"/>
  <c r="AC15" i="11"/>
  <c r="AG15" i="11"/>
  <c r="D15" i="11"/>
  <c r="F15" i="11"/>
  <c r="H15" i="11"/>
  <c r="J15" i="11"/>
  <c r="L15" i="11"/>
  <c r="N15" i="11"/>
  <c r="P15" i="11"/>
  <c r="R15" i="11"/>
  <c r="T15" i="11"/>
  <c r="V15" i="11"/>
  <c r="X15" i="11"/>
  <c r="Z15" i="11"/>
  <c r="AB15" i="11"/>
  <c r="AD15" i="11"/>
  <c r="AF15" i="11"/>
  <c r="AI15" i="11"/>
  <c r="W15" i="11"/>
  <c r="AA15" i="11"/>
  <c r="AE15" i="11"/>
  <c r="C15" i="11" l="1"/>
  <c r="E16" i="11"/>
  <c r="G16" i="11"/>
  <c r="I16" i="11"/>
  <c r="K16" i="11"/>
  <c r="M16" i="11"/>
  <c r="O16" i="11"/>
  <c r="Q16" i="11"/>
  <c r="S16" i="11"/>
  <c r="U16" i="11"/>
  <c r="Y16" i="11"/>
  <c r="AC16" i="11"/>
  <c r="AG16" i="11"/>
  <c r="D16" i="11"/>
  <c r="F16" i="11"/>
  <c r="H16" i="11"/>
  <c r="J16" i="11"/>
  <c r="L16" i="11"/>
  <c r="N16" i="11"/>
  <c r="P16" i="11"/>
  <c r="R16" i="11"/>
  <c r="T16" i="11"/>
  <c r="V16" i="11"/>
  <c r="X16" i="11"/>
  <c r="Z16" i="11"/>
  <c r="AB16" i="11"/>
  <c r="AD16" i="11"/>
  <c r="AF16" i="11"/>
  <c r="AI16" i="11"/>
  <c r="W16" i="11"/>
  <c r="AA16" i="11"/>
  <c r="AE16" i="11"/>
  <c r="C16" i="11" l="1"/>
  <c r="E17" i="11"/>
  <c r="G17" i="11"/>
  <c r="I17" i="11"/>
  <c r="K17" i="11"/>
  <c r="M17" i="11"/>
  <c r="O17" i="11"/>
  <c r="Q17" i="11"/>
  <c r="S17" i="11"/>
  <c r="W17" i="11"/>
  <c r="AA17" i="11"/>
  <c r="AE17" i="11"/>
  <c r="D17" i="11"/>
  <c r="F17" i="11"/>
  <c r="H17" i="11"/>
  <c r="J17" i="11"/>
  <c r="L17" i="11"/>
  <c r="N17" i="11"/>
  <c r="P17" i="11"/>
  <c r="R17" i="11"/>
  <c r="T17" i="11"/>
  <c r="V17" i="11"/>
  <c r="X17" i="11"/>
  <c r="Z17" i="11"/>
  <c r="AB17" i="11"/>
  <c r="AD17" i="11"/>
  <c r="AF17" i="11"/>
  <c r="AI17" i="11"/>
  <c r="U17" i="11"/>
  <c r="Y17" i="11"/>
  <c r="AC17" i="11"/>
  <c r="AG17" i="11"/>
  <c r="C17" i="11" l="1"/>
  <c r="E18" i="11"/>
  <c r="G18" i="11"/>
  <c r="I18" i="11"/>
  <c r="K18" i="11"/>
  <c r="M18" i="11"/>
  <c r="O18" i="11"/>
  <c r="Q18" i="11"/>
  <c r="S18" i="11"/>
  <c r="U18" i="11"/>
  <c r="Y18" i="11"/>
  <c r="AC18" i="11"/>
  <c r="AG18" i="11"/>
  <c r="D18" i="11"/>
  <c r="F18" i="11"/>
  <c r="H18" i="11"/>
  <c r="J18" i="11"/>
  <c r="L18" i="11"/>
  <c r="N18" i="11"/>
  <c r="P18" i="11"/>
  <c r="R18" i="11"/>
  <c r="T18" i="11"/>
  <c r="V18" i="11"/>
  <c r="X18" i="11"/>
  <c r="Z18" i="11"/>
  <c r="AB18" i="11"/>
  <c r="AD18" i="11"/>
  <c r="AF18" i="11"/>
  <c r="AI18" i="11"/>
  <c r="W18" i="11"/>
  <c r="AA18" i="11"/>
  <c r="AE18" i="11"/>
  <c r="C18" i="11" l="1"/>
  <c r="E19" i="11"/>
  <c r="G19" i="11"/>
  <c r="I19" i="11"/>
  <c r="K19" i="11"/>
  <c r="M19" i="11"/>
  <c r="O19" i="11"/>
  <c r="Q19" i="11"/>
  <c r="S19" i="11"/>
  <c r="U19" i="11"/>
  <c r="W19" i="11"/>
  <c r="AA19" i="11"/>
  <c r="AE19" i="11"/>
  <c r="D19" i="11"/>
  <c r="F19" i="11"/>
  <c r="H19" i="11"/>
  <c r="J19" i="11"/>
  <c r="L19" i="11"/>
  <c r="N19" i="11"/>
  <c r="P19" i="11"/>
  <c r="R19" i="11"/>
  <c r="T19" i="11"/>
  <c r="V19" i="11"/>
  <c r="X19" i="11"/>
  <c r="Z19" i="11"/>
  <c r="AB19" i="11"/>
  <c r="AD19" i="11"/>
  <c r="AF19" i="11"/>
  <c r="AI19" i="11"/>
  <c r="Y19" i="11"/>
  <c r="AC19" i="11"/>
  <c r="AG19" i="11"/>
  <c r="C19" i="11" l="1"/>
  <c r="E20" i="11"/>
  <c r="G20" i="11"/>
  <c r="I20" i="11"/>
  <c r="K20" i="11"/>
  <c r="M20" i="11"/>
  <c r="O20" i="11"/>
  <c r="Q20" i="11"/>
  <c r="S20" i="11"/>
  <c r="U20" i="11"/>
  <c r="W20" i="11"/>
  <c r="AA20" i="11"/>
  <c r="AE20" i="11"/>
  <c r="D20" i="11"/>
  <c r="F20" i="11"/>
  <c r="H20" i="11"/>
  <c r="J20" i="11"/>
  <c r="L20" i="11"/>
  <c r="N20" i="11"/>
  <c r="P20" i="11"/>
  <c r="R20" i="11"/>
  <c r="T20" i="11"/>
  <c r="V20" i="11"/>
  <c r="X20" i="11"/>
  <c r="Z20" i="11"/>
  <c r="AB20" i="11"/>
  <c r="AD20" i="11"/>
  <c r="AF20" i="11"/>
  <c r="AI20" i="11"/>
  <c r="Y20" i="11"/>
  <c r="AC20" i="11"/>
  <c r="AG20" i="11"/>
  <c r="C20" i="11" l="1"/>
  <c r="E21" i="11"/>
  <c r="G21" i="11"/>
  <c r="I21" i="11"/>
  <c r="K21" i="11"/>
  <c r="M21" i="11"/>
  <c r="O21" i="11"/>
  <c r="Q21" i="11"/>
  <c r="S21" i="11"/>
  <c r="U21" i="11"/>
  <c r="W21" i="11"/>
  <c r="Y21" i="11"/>
  <c r="AE21" i="11"/>
  <c r="D21" i="11"/>
  <c r="F21" i="11"/>
  <c r="H21" i="11"/>
  <c r="J21" i="11"/>
  <c r="L21" i="11"/>
  <c r="N21" i="11"/>
  <c r="P21" i="11"/>
  <c r="R21" i="11"/>
  <c r="T21" i="11"/>
  <c r="V21" i="11"/>
  <c r="X21" i="11"/>
  <c r="Z21" i="11"/>
  <c r="AB21" i="11"/>
  <c r="AD21" i="11"/>
  <c r="AF21" i="11"/>
  <c r="AI21" i="11"/>
  <c r="AA21" i="11"/>
  <c r="AC21" i="11"/>
  <c r="AG21" i="11"/>
  <c r="C21" i="11" l="1"/>
  <c r="E22" i="11"/>
  <c r="G22" i="11"/>
  <c r="I22" i="11"/>
  <c r="K22" i="11"/>
  <c r="M22" i="11"/>
  <c r="O22" i="11"/>
  <c r="Q22" i="11"/>
  <c r="S22" i="11"/>
  <c r="U22" i="11"/>
  <c r="W22" i="11"/>
  <c r="AA22" i="11"/>
  <c r="AE22" i="11"/>
  <c r="D22" i="11"/>
  <c r="F22" i="11"/>
  <c r="H22" i="11"/>
  <c r="J22" i="11"/>
  <c r="L22" i="11"/>
  <c r="N22" i="11"/>
  <c r="P22" i="11"/>
  <c r="R22" i="11"/>
  <c r="T22" i="11"/>
  <c r="V22" i="11"/>
  <c r="X22" i="11"/>
  <c r="Z22" i="11"/>
  <c r="AB22" i="11"/>
  <c r="AD22" i="11"/>
  <c r="AF22" i="11"/>
  <c r="AI22" i="11"/>
  <c r="Y22" i="11"/>
  <c r="AC22" i="11"/>
  <c r="AG22" i="11"/>
  <c r="C22" i="11" l="1"/>
  <c r="E23" i="11"/>
  <c r="G23" i="11"/>
  <c r="I23" i="11"/>
  <c r="K23" i="11"/>
  <c r="M23" i="11"/>
  <c r="O23" i="11"/>
  <c r="Q23" i="11"/>
  <c r="S23" i="11"/>
  <c r="U23" i="11"/>
  <c r="W23" i="11"/>
  <c r="AA23" i="11"/>
  <c r="AE23" i="11"/>
  <c r="D23" i="11"/>
  <c r="F23" i="11"/>
  <c r="H23" i="11"/>
  <c r="J23" i="11"/>
  <c r="L23" i="11"/>
  <c r="N23" i="11"/>
  <c r="P23" i="11"/>
  <c r="R23" i="11"/>
  <c r="T23" i="11"/>
  <c r="V23" i="11"/>
  <c r="X23" i="11"/>
  <c r="Z23" i="11"/>
  <c r="AB23" i="11"/>
  <c r="AD23" i="11"/>
  <c r="AF23" i="11"/>
  <c r="AI23" i="11"/>
  <c r="Y23" i="11"/>
  <c r="AC23" i="11"/>
  <c r="AG23" i="11"/>
  <c r="C23" i="11" l="1"/>
  <c r="E24" i="11"/>
  <c r="G24" i="11"/>
  <c r="I24" i="11"/>
  <c r="K24" i="11"/>
  <c r="M24" i="11"/>
  <c r="O24" i="11"/>
  <c r="Q24" i="11"/>
  <c r="S24" i="11"/>
  <c r="U24" i="11"/>
  <c r="W24" i="11"/>
  <c r="AA24" i="11"/>
  <c r="AE24" i="11"/>
  <c r="D24" i="11"/>
  <c r="F24" i="11"/>
  <c r="H24" i="11"/>
  <c r="J24" i="11"/>
  <c r="L24" i="11"/>
  <c r="N24" i="11"/>
  <c r="P24" i="11"/>
  <c r="R24" i="11"/>
  <c r="T24" i="11"/>
  <c r="V24" i="11"/>
  <c r="X24" i="11"/>
  <c r="Z24" i="11"/>
  <c r="AB24" i="11"/>
  <c r="AD24" i="11"/>
  <c r="AF24" i="11"/>
  <c r="AI24" i="11"/>
  <c r="Y24" i="11"/>
  <c r="AC24" i="11"/>
  <c r="AG24" i="11"/>
  <c r="C24" i="11" l="1"/>
  <c r="E25" i="11"/>
  <c r="G25" i="11"/>
  <c r="I25" i="11"/>
  <c r="K25" i="11"/>
  <c r="M25" i="11"/>
  <c r="O25" i="11"/>
  <c r="Q25" i="11"/>
  <c r="S25" i="11"/>
  <c r="U25" i="11"/>
  <c r="W25" i="11"/>
  <c r="Y25" i="11"/>
  <c r="AC25" i="11"/>
  <c r="AG25" i="11"/>
  <c r="D25" i="11"/>
  <c r="F25" i="11"/>
  <c r="H25" i="11"/>
  <c r="J25" i="11"/>
  <c r="L25" i="11"/>
  <c r="N25" i="11"/>
  <c r="P25" i="11"/>
  <c r="R25" i="11"/>
  <c r="T25" i="11"/>
  <c r="V25" i="11"/>
  <c r="X25" i="11"/>
  <c r="Z25" i="11"/>
  <c r="AB25" i="11"/>
  <c r="AD25" i="11"/>
  <c r="AF25" i="11"/>
  <c r="AI25" i="11"/>
  <c r="AA25" i="11"/>
  <c r="AE25" i="11"/>
  <c r="C25" i="11" l="1"/>
  <c r="E26" i="11"/>
  <c r="G26" i="11"/>
  <c r="I26" i="11"/>
  <c r="K26" i="11"/>
  <c r="M26" i="11"/>
  <c r="O26" i="11"/>
  <c r="Q26" i="11"/>
  <c r="S26" i="11"/>
  <c r="U26" i="11"/>
  <c r="W26" i="11"/>
  <c r="AA26" i="11"/>
  <c r="AE26" i="11"/>
  <c r="D26" i="11"/>
  <c r="F26" i="11"/>
  <c r="H26" i="11"/>
  <c r="J26" i="11"/>
  <c r="L26" i="11"/>
  <c r="N26" i="11"/>
  <c r="P26" i="11"/>
  <c r="R26" i="11"/>
  <c r="T26" i="11"/>
  <c r="V26" i="11"/>
  <c r="X26" i="11"/>
  <c r="Z26" i="11"/>
  <c r="AB26" i="11"/>
  <c r="AD26" i="11"/>
  <c r="AF26" i="11"/>
  <c r="AI26" i="11"/>
  <c r="Y26" i="11"/>
  <c r="AC26" i="11"/>
  <c r="AG26" i="11"/>
  <c r="C26" i="11" l="1"/>
  <c r="E27" i="11"/>
  <c r="G27" i="11"/>
  <c r="I27" i="11"/>
  <c r="K27" i="11"/>
  <c r="M27" i="11"/>
  <c r="O27" i="11"/>
  <c r="Q27" i="11"/>
  <c r="S27" i="11"/>
  <c r="U27" i="11"/>
  <c r="Y27" i="11"/>
  <c r="AC27" i="11"/>
  <c r="AG27" i="11"/>
  <c r="D27" i="11"/>
  <c r="F27" i="11"/>
  <c r="H27" i="11"/>
  <c r="J27" i="11"/>
  <c r="L27" i="11"/>
  <c r="N27" i="11"/>
  <c r="P27" i="11"/>
  <c r="R27" i="11"/>
  <c r="T27" i="11"/>
  <c r="V27" i="11"/>
  <c r="X27" i="11"/>
  <c r="Z27" i="11"/>
  <c r="AB27" i="11"/>
  <c r="AD27" i="11"/>
  <c r="AF27" i="11"/>
  <c r="AI27" i="11"/>
  <c r="W27" i="11"/>
  <c r="AA27" i="11"/>
  <c r="AE27" i="11"/>
  <c r="C27" i="11" l="1"/>
  <c r="E28" i="11"/>
  <c r="G28" i="11"/>
  <c r="I28" i="11"/>
  <c r="K28" i="11"/>
  <c r="M28" i="11"/>
  <c r="O28" i="11"/>
  <c r="Q28" i="11"/>
  <c r="S28" i="11"/>
  <c r="U28" i="11"/>
  <c r="W28" i="11"/>
  <c r="AA28" i="11"/>
  <c r="AE28" i="11"/>
  <c r="D28" i="11"/>
  <c r="F28" i="11"/>
  <c r="H28" i="11"/>
  <c r="J28" i="11"/>
  <c r="L28" i="11"/>
  <c r="N28" i="11"/>
  <c r="P28" i="11"/>
  <c r="R28" i="11"/>
  <c r="T28" i="11"/>
  <c r="V28" i="11"/>
  <c r="X28" i="11"/>
  <c r="Z28" i="11"/>
  <c r="AB28" i="11"/>
  <c r="AD28" i="11"/>
  <c r="AF28" i="11"/>
  <c r="AI28" i="11"/>
  <c r="Y28" i="11"/>
  <c r="AC28" i="11"/>
  <c r="AG28" i="11"/>
  <c r="C28" i="11" l="1"/>
  <c r="E29" i="11"/>
  <c r="G29" i="11"/>
  <c r="I29" i="11"/>
  <c r="K29" i="11"/>
  <c r="M29" i="11"/>
  <c r="O29" i="11"/>
  <c r="Q29" i="11"/>
  <c r="S29" i="11"/>
  <c r="U29" i="11"/>
  <c r="W29" i="11"/>
  <c r="Y29" i="11"/>
  <c r="AC29" i="11"/>
  <c r="AG29" i="11"/>
  <c r="D29" i="11"/>
  <c r="F29" i="11"/>
  <c r="H29" i="11"/>
  <c r="J29" i="11"/>
  <c r="L29" i="11"/>
  <c r="N29" i="11"/>
  <c r="P29" i="11"/>
  <c r="R29" i="11"/>
  <c r="T29" i="11"/>
  <c r="V29" i="11"/>
  <c r="X29" i="11"/>
  <c r="Z29" i="11"/>
  <c r="AB29" i="11"/>
  <c r="AD29" i="11"/>
  <c r="AF29" i="11"/>
  <c r="AI29" i="11"/>
  <c r="AA29" i="11"/>
  <c r="AE29" i="11"/>
  <c r="C29" i="11" l="1"/>
  <c r="E30" i="11"/>
  <c r="G30" i="11"/>
  <c r="I30" i="11"/>
  <c r="K30" i="11"/>
  <c r="M30" i="11"/>
  <c r="O30" i="11"/>
  <c r="Q30" i="11"/>
  <c r="S30" i="11"/>
  <c r="U30" i="11"/>
  <c r="W30" i="11"/>
  <c r="AA30" i="11"/>
  <c r="AE30" i="11"/>
  <c r="D30" i="11"/>
  <c r="F30" i="11"/>
  <c r="H30" i="11"/>
  <c r="J30" i="11"/>
  <c r="L30" i="11"/>
  <c r="N30" i="11"/>
  <c r="P30" i="11"/>
  <c r="R30" i="11"/>
  <c r="T30" i="11"/>
  <c r="V30" i="11"/>
  <c r="X30" i="11"/>
  <c r="Z30" i="11"/>
  <c r="AB30" i="11"/>
  <c r="AD30" i="11"/>
  <c r="AF30" i="11"/>
  <c r="AI30" i="11"/>
  <c r="Y30" i="11"/>
  <c r="AC30" i="11"/>
  <c r="AG30" i="11"/>
  <c r="C30" i="11" l="1"/>
  <c r="E31" i="11"/>
  <c r="G31" i="11"/>
  <c r="I31" i="11"/>
  <c r="K31" i="11"/>
  <c r="M31" i="11"/>
  <c r="O31" i="11"/>
  <c r="Q31" i="11"/>
  <c r="S31" i="11"/>
  <c r="U31" i="11"/>
  <c r="W31" i="11"/>
  <c r="AA31" i="11"/>
  <c r="AE31" i="11"/>
  <c r="D31" i="11"/>
  <c r="F31" i="11"/>
  <c r="H31" i="11"/>
  <c r="J31" i="11"/>
  <c r="L31" i="11"/>
  <c r="N31" i="11"/>
  <c r="P31" i="11"/>
  <c r="R31" i="11"/>
  <c r="T31" i="11"/>
  <c r="V31" i="11"/>
  <c r="X31" i="11"/>
  <c r="Z31" i="11"/>
  <c r="AB31" i="11"/>
  <c r="AD31" i="11"/>
  <c r="AF31" i="11"/>
  <c r="AI31" i="11"/>
  <c r="Y31" i="11"/>
  <c r="AC31" i="11"/>
  <c r="AG31" i="11"/>
  <c r="C31" i="11" l="1"/>
  <c r="E32" i="11"/>
  <c r="G32" i="11"/>
  <c r="I32" i="11"/>
  <c r="K32" i="11"/>
  <c r="M32" i="11"/>
  <c r="O32" i="11"/>
  <c r="Q32" i="11"/>
  <c r="S32" i="11"/>
  <c r="U32" i="11"/>
  <c r="W32" i="11"/>
  <c r="AA32" i="11"/>
  <c r="AE32" i="11"/>
  <c r="D32" i="11"/>
  <c r="F32" i="11"/>
  <c r="H32" i="11"/>
  <c r="J32" i="11"/>
  <c r="L32" i="11"/>
  <c r="N32" i="11"/>
  <c r="P32" i="11"/>
  <c r="R32" i="11"/>
  <c r="T32" i="11"/>
  <c r="V32" i="11"/>
  <c r="X32" i="11"/>
  <c r="Z32" i="11"/>
  <c r="AB32" i="11"/>
  <c r="AD32" i="11"/>
  <c r="AF32" i="11"/>
  <c r="AI32" i="11"/>
  <c r="Y32" i="11"/>
  <c r="AC32" i="11"/>
  <c r="AG32" i="11"/>
  <c r="C32" i="11" l="1"/>
  <c r="E33" i="11"/>
  <c r="G33" i="11"/>
  <c r="I33" i="11"/>
  <c r="K33" i="11"/>
  <c r="M33" i="11"/>
  <c r="O33" i="11"/>
  <c r="Q33" i="11"/>
  <c r="S33" i="11"/>
  <c r="U33" i="11"/>
  <c r="W33" i="11"/>
  <c r="AA33" i="11"/>
  <c r="AE33" i="11"/>
  <c r="D33" i="11"/>
  <c r="F33" i="11"/>
  <c r="H33" i="11"/>
  <c r="J33" i="11"/>
  <c r="L33" i="11"/>
  <c r="N33" i="11"/>
  <c r="P33" i="11"/>
  <c r="R33" i="11"/>
  <c r="T33" i="11"/>
  <c r="V33" i="11"/>
  <c r="X33" i="11"/>
  <c r="Z33" i="11"/>
  <c r="AB33" i="11"/>
  <c r="AD33" i="11"/>
  <c r="AF33" i="11"/>
  <c r="AI33" i="11"/>
  <c r="Y33" i="11"/>
  <c r="AC33" i="11"/>
  <c r="AG33" i="11"/>
  <c r="C33" i="11" l="1"/>
  <c r="E34" i="11"/>
  <c r="G34" i="11"/>
  <c r="I34" i="11"/>
  <c r="K34" i="11"/>
  <c r="M34" i="11"/>
  <c r="O34" i="11"/>
  <c r="Q34" i="11"/>
  <c r="S34" i="11"/>
  <c r="U34" i="11"/>
  <c r="W34" i="11"/>
  <c r="AA34" i="11"/>
  <c r="AE34" i="11"/>
  <c r="D34" i="11"/>
  <c r="F34" i="11"/>
  <c r="H34" i="11"/>
  <c r="J34" i="11"/>
  <c r="L34" i="11"/>
  <c r="N34" i="11"/>
  <c r="P34" i="11"/>
  <c r="R34" i="11"/>
  <c r="T34" i="11"/>
  <c r="V34" i="11"/>
  <c r="X34" i="11"/>
  <c r="Z34" i="11"/>
  <c r="AB34" i="11"/>
  <c r="AD34" i="11"/>
  <c r="AF34" i="11"/>
  <c r="AI34" i="11"/>
  <c r="Y34" i="11"/>
  <c r="AC34" i="11"/>
  <c r="AG34" i="11"/>
  <c r="C34" i="11" l="1"/>
  <c r="E35" i="11"/>
  <c r="G35" i="11"/>
  <c r="I35" i="11"/>
  <c r="K35" i="11"/>
  <c r="M35" i="11"/>
  <c r="O35" i="11"/>
  <c r="Q35" i="11"/>
  <c r="S35" i="11"/>
  <c r="U35" i="11"/>
  <c r="W35" i="11"/>
  <c r="Y35" i="11"/>
  <c r="AC35" i="11"/>
  <c r="AG35" i="11"/>
  <c r="D35" i="11"/>
  <c r="F35" i="11"/>
  <c r="H35" i="11"/>
  <c r="J35" i="11"/>
  <c r="L35" i="11"/>
  <c r="N35" i="11"/>
  <c r="P35" i="11"/>
  <c r="R35" i="11"/>
  <c r="T35" i="11"/>
  <c r="V35" i="11"/>
  <c r="X35" i="11"/>
  <c r="Z35" i="11"/>
  <c r="AB35" i="11"/>
  <c r="AD35" i="11"/>
  <c r="AF35" i="11"/>
  <c r="AI35" i="11"/>
  <c r="AA35" i="11"/>
  <c r="AE35" i="11"/>
  <c r="C35" i="11" l="1"/>
  <c r="E36" i="11"/>
  <c r="G36" i="11"/>
  <c r="I36" i="11"/>
  <c r="K36" i="11"/>
  <c r="M36" i="11"/>
  <c r="O36" i="11"/>
  <c r="Q36" i="11"/>
  <c r="S36" i="11"/>
  <c r="W36" i="11"/>
  <c r="Y36" i="11"/>
  <c r="AC36" i="11"/>
  <c r="AG36" i="11"/>
  <c r="D36" i="11"/>
  <c r="F36" i="11"/>
  <c r="H36" i="11"/>
  <c r="J36" i="11"/>
  <c r="L36" i="11"/>
  <c r="N36" i="11"/>
  <c r="P36" i="11"/>
  <c r="R36" i="11"/>
  <c r="T36" i="11"/>
  <c r="V36" i="11"/>
  <c r="X36" i="11"/>
  <c r="Z36" i="11"/>
  <c r="AB36" i="11"/>
  <c r="AD36" i="11"/>
  <c r="AF36" i="11"/>
  <c r="AI36" i="11"/>
  <c r="U36" i="11"/>
  <c r="AA36" i="11"/>
  <c r="AE36" i="11"/>
  <c r="C36" i="11" l="1"/>
  <c r="E37" i="11"/>
  <c r="G37" i="11"/>
  <c r="I37" i="11"/>
  <c r="K37" i="11"/>
  <c r="M37" i="11"/>
  <c r="O37" i="11"/>
  <c r="Q37" i="11"/>
  <c r="S37" i="11"/>
  <c r="U37" i="11"/>
  <c r="W37" i="11"/>
  <c r="Y37" i="11"/>
  <c r="AC37" i="11"/>
  <c r="AG37" i="11"/>
  <c r="D37" i="11"/>
  <c r="F37" i="11"/>
  <c r="H37" i="11"/>
  <c r="J37" i="11"/>
  <c r="L37" i="11"/>
  <c r="N37" i="11"/>
  <c r="P37" i="11"/>
  <c r="R37" i="11"/>
  <c r="T37" i="11"/>
  <c r="V37" i="11"/>
  <c r="X37" i="11"/>
  <c r="Z37" i="11"/>
  <c r="AB37" i="11"/>
  <c r="AD37" i="11"/>
  <c r="AF37" i="11"/>
  <c r="AI37" i="11"/>
  <c r="AA37" i="11"/>
  <c r="AE37" i="11"/>
  <c r="C37" i="11" l="1"/>
  <c r="E38" i="11"/>
  <c r="G38" i="11"/>
  <c r="I38" i="11"/>
  <c r="K38" i="11"/>
  <c r="M38" i="11"/>
  <c r="O38" i="11"/>
  <c r="Q38" i="11"/>
  <c r="S38" i="11"/>
  <c r="U38" i="11"/>
  <c r="Y38" i="11"/>
  <c r="AC38" i="11"/>
  <c r="AG38" i="11"/>
  <c r="D38" i="11"/>
  <c r="F38" i="11"/>
  <c r="H38" i="11"/>
  <c r="J38" i="11"/>
  <c r="L38" i="11"/>
  <c r="N38" i="11"/>
  <c r="P38" i="11"/>
  <c r="R38" i="11"/>
  <c r="T38" i="11"/>
  <c r="V38" i="11"/>
  <c r="X38" i="11"/>
  <c r="Z38" i="11"/>
  <c r="AB38" i="11"/>
  <c r="AD38" i="11"/>
  <c r="AF38" i="11"/>
  <c r="AI38" i="11"/>
  <c r="W38" i="11"/>
  <c r="AA38" i="11"/>
  <c r="AE38" i="11"/>
  <c r="C38" i="11" l="1"/>
  <c r="E39" i="11"/>
  <c r="G39" i="11"/>
  <c r="I39" i="11"/>
  <c r="K39" i="11"/>
  <c r="M39" i="11"/>
  <c r="O39" i="11"/>
  <c r="Q39" i="11"/>
  <c r="S39" i="11"/>
  <c r="U39" i="11"/>
  <c r="W39" i="11"/>
  <c r="AA39" i="11"/>
  <c r="AE39" i="11"/>
  <c r="D39" i="11"/>
  <c r="F39" i="11"/>
  <c r="H39" i="11"/>
  <c r="J39" i="11"/>
  <c r="L39" i="11"/>
  <c r="N39" i="11"/>
  <c r="P39" i="11"/>
  <c r="R39" i="11"/>
  <c r="T39" i="11"/>
  <c r="V39" i="11"/>
  <c r="X39" i="11"/>
  <c r="Z39" i="11"/>
  <c r="AB39" i="11"/>
  <c r="AD39" i="11"/>
  <c r="AF39" i="11"/>
  <c r="AI39" i="11"/>
  <c r="Y39" i="11"/>
  <c r="AC39" i="11"/>
  <c r="AG39" i="11"/>
  <c r="C39" i="11" l="1"/>
  <c r="E40" i="11"/>
  <c r="G40" i="11"/>
  <c r="I40" i="11"/>
  <c r="K40" i="11"/>
  <c r="M40" i="11"/>
  <c r="O40" i="11"/>
  <c r="Q40" i="11"/>
  <c r="S40" i="11"/>
  <c r="U40" i="11"/>
  <c r="Y40" i="11"/>
  <c r="AC40" i="11"/>
  <c r="AG40" i="11"/>
  <c r="D40" i="11"/>
  <c r="F40" i="11"/>
  <c r="H40" i="11"/>
  <c r="J40" i="11"/>
  <c r="L40" i="11"/>
  <c r="N40" i="11"/>
  <c r="P40" i="11"/>
  <c r="R40" i="11"/>
  <c r="T40" i="11"/>
  <c r="V40" i="11"/>
  <c r="X40" i="11"/>
  <c r="Z40" i="11"/>
  <c r="AB40" i="11"/>
  <c r="AD40" i="11"/>
  <c r="AF40" i="11"/>
  <c r="AI40" i="11"/>
  <c r="W40" i="11"/>
  <c r="AA40" i="11"/>
  <c r="AE40" i="11"/>
  <c r="C40" i="11" l="1"/>
  <c r="E41" i="11"/>
  <c r="G41" i="11"/>
  <c r="I41" i="11"/>
  <c r="K41" i="11"/>
  <c r="M41" i="11"/>
  <c r="O41" i="11"/>
  <c r="Q41" i="11"/>
  <c r="S41" i="11"/>
  <c r="U41" i="11"/>
  <c r="W41" i="11"/>
  <c r="AA41" i="11"/>
  <c r="AE41" i="11"/>
  <c r="D41" i="11"/>
  <c r="F41" i="11"/>
  <c r="H41" i="11"/>
  <c r="J41" i="11"/>
  <c r="L41" i="11"/>
  <c r="N41" i="11"/>
  <c r="P41" i="11"/>
  <c r="R41" i="11"/>
  <c r="T41" i="11"/>
  <c r="V41" i="11"/>
  <c r="X41" i="11"/>
  <c r="Z41" i="11"/>
  <c r="AB41" i="11"/>
  <c r="AD41" i="11"/>
  <c r="AF41" i="11"/>
  <c r="AI41" i="11"/>
  <c r="Y41" i="11"/>
  <c r="AC41" i="11"/>
  <c r="AG41" i="11"/>
  <c r="C41" i="11" l="1"/>
  <c r="E42" i="11"/>
  <c r="G42" i="11"/>
  <c r="I42" i="11"/>
  <c r="K42" i="11"/>
  <c r="M42" i="11"/>
  <c r="O42" i="11"/>
  <c r="Q42" i="11"/>
  <c r="S42" i="11"/>
  <c r="U42" i="11"/>
  <c r="Y42" i="11"/>
  <c r="AC42" i="11"/>
  <c r="AG42" i="11"/>
  <c r="D42" i="11"/>
  <c r="F42" i="11"/>
  <c r="H42" i="11"/>
  <c r="J42" i="11"/>
  <c r="L42" i="11"/>
  <c r="N42" i="11"/>
  <c r="P42" i="11"/>
  <c r="R42" i="11"/>
  <c r="T42" i="11"/>
  <c r="V42" i="11"/>
  <c r="X42" i="11"/>
  <c r="Z42" i="11"/>
  <c r="AB42" i="11"/>
  <c r="AD42" i="11"/>
  <c r="AF42" i="11"/>
  <c r="AI42" i="11"/>
  <c r="W42" i="11"/>
  <c r="AA42" i="11"/>
  <c r="AE42" i="11"/>
  <c r="C42" i="11" l="1"/>
  <c r="E43" i="11"/>
  <c r="G43" i="11"/>
  <c r="I43" i="11"/>
  <c r="K43" i="11"/>
  <c r="M43" i="11"/>
  <c r="O43" i="11"/>
  <c r="Q43" i="11"/>
  <c r="S43" i="11"/>
  <c r="U43" i="11"/>
  <c r="W43" i="11"/>
  <c r="AA43" i="11"/>
  <c r="AE43" i="11"/>
  <c r="D43" i="11"/>
  <c r="F43" i="11"/>
  <c r="H43" i="11"/>
  <c r="J43" i="11"/>
  <c r="L43" i="11"/>
  <c r="N43" i="11"/>
  <c r="P43" i="11"/>
  <c r="R43" i="11"/>
  <c r="T43" i="11"/>
  <c r="V43" i="11"/>
  <c r="X43" i="11"/>
  <c r="Z43" i="11"/>
  <c r="AB43" i="11"/>
  <c r="AD43" i="11"/>
  <c r="AF43" i="11"/>
  <c r="AI43" i="11"/>
  <c r="Y43" i="11"/>
  <c r="AC43" i="11"/>
  <c r="AG43" i="11"/>
  <c r="C43" i="11" l="1"/>
  <c r="E44" i="11"/>
  <c r="G44" i="11"/>
  <c r="I44" i="11"/>
  <c r="K44" i="11"/>
  <c r="M44" i="11"/>
  <c r="O44" i="11"/>
  <c r="Q44" i="11"/>
  <c r="S44" i="11"/>
  <c r="U44" i="11"/>
  <c r="W44" i="11"/>
  <c r="AA44" i="11"/>
  <c r="AE44" i="11"/>
  <c r="D44" i="11"/>
  <c r="F44" i="11"/>
  <c r="H44" i="11"/>
  <c r="J44" i="11"/>
  <c r="L44" i="11"/>
  <c r="N44" i="11"/>
  <c r="P44" i="11"/>
  <c r="R44" i="11"/>
  <c r="T44" i="11"/>
  <c r="V44" i="11"/>
  <c r="X44" i="11"/>
  <c r="Z44" i="11"/>
  <c r="AB44" i="11"/>
  <c r="AD44" i="11"/>
  <c r="AF44" i="11"/>
  <c r="AI44" i="11"/>
  <c r="Y44" i="11"/>
  <c r="AC44" i="11"/>
  <c r="AG44" i="11"/>
  <c r="C44" i="11" l="1"/>
  <c r="E45" i="11"/>
  <c r="G45" i="11"/>
  <c r="I45" i="11"/>
  <c r="K45" i="11"/>
  <c r="M45" i="11"/>
  <c r="O45" i="11"/>
  <c r="Q45" i="11"/>
  <c r="S45" i="11"/>
  <c r="U45" i="11"/>
  <c r="W45" i="11"/>
  <c r="AA45" i="11"/>
  <c r="AE45" i="11"/>
  <c r="D45" i="11"/>
  <c r="F45" i="11"/>
  <c r="H45" i="11"/>
  <c r="J45" i="11"/>
  <c r="L45" i="11"/>
  <c r="N45" i="11"/>
  <c r="P45" i="11"/>
  <c r="R45" i="11"/>
  <c r="T45" i="11"/>
  <c r="V45" i="11"/>
  <c r="X45" i="11"/>
  <c r="Z45" i="11"/>
  <c r="AB45" i="11"/>
  <c r="AD45" i="11"/>
  <c r="AF45" i="11"/>
  <c r="AI45" i="11"/>
  <c r="Y45" i="11"/>
  <c r="AC45" i="11"/>
  <c r="AG45" i="11"/>
  <c r="C45" i="11" l="1"/>
  <c r="E46" i="11"/>
  <c r="G46" i="11"/>
  <c r="I46" i="11"/>
  <c r="K46" i="11"/>
  <c r="M46" i="11"/>
  <c r="O46" i="11"/>
  <c r="Q46" i="11"/>
  <c r="S46" i="11"/>
  <c r="U46" i="11"/>
  <c r="Y46" i="11"/>
  <c r="AC46" i="11"/>
  <c r="AG46" i="11"/>
  <c r="D46" i="11"/>
  <c r="F46" i="11"/>
  <c r="H46" i="11"/>
  <c r="J46" i="11"/>
  <c r="L46" i="11"/>
  <c r="N46" i="11"/>
  <c r="P46" i="11"/>
  <c r="R46" i="11"/>
  <c r="T46" i="11"/>
  <c r="V46" i="11"/>
  <c r="X46" i="11"/>
  <c r="Z46" i="11"/>
  <c r="AB46" i="11"/>
  <c r="AD46" i="11"/>
  <c r="AF46" i="11"/>
  <c r="AI46" i="11"/>
  <c r="W46" i="11"/>
  <c r="AA46" i="11"/>
  <c r="AE46" i="11"/>
  <c r="C46" i="11" l="1"/>
  <c r="E47" i="11"/>
  <c r="G47" i="11"/>
  <c r="I47" i="11"/>
  <c r="K47" i="11"/>
  <c r="M47" i="11"/>
  <c r="O47" i="11"/>
  <c r="Q47" i="11"/>
  <c r="S47" i="11"/>
  <c r="U47" i="11"/>
  <c r="Y47" i="11"/>
  <c r="AC47" i="11"/>
  <c r="AG47" i="11"/>
  <c r="D47" i="11"/>
  <c r="F47" i="11"/>
  <c r="H47" i="11"/>
  <c r="J47" i="11"/>
  <c r="L47" i="11"/>
  <c r="N47" i="11"/>
  <c r="P47" i="11"/>
  <c r="R47" i="11"/>
  <c r="T47" i="11"/>
  <c r="V47" i="11"/>
  <c r="X47" i="11"/>
  <c r="Z47" i="11"/>
  <c r="AB47" i="11"/>
  <c r="AD47" i="11"/>
  <c r="AF47" i="11"/>
  <c r="AI47" i="11"/>
  <c r="W47" i="11"/>
  <c r="AA47" i="11"/>
  <c r="AE47" i="11"/>
  <c r="C47" i="11" l="1"/>
  <c r="E48" i="11"/>
  <c r="G48" i="11"/>
  <c r="I48" i="11"/>
  <c r="K48" i="11"/>
  <c r="M48" i="11"/>
  <c r="O48" i="11"/>
  <c r="Q48" i="11"/>
  <c r="S48" i="11"/>
  <c r="U48" i="11"/>
  <c r="W48" i="11"/>
  <c r="Y48" i="11"/>
  <c r="AC48" i="11"/>
  <c r="AG48" i="11"/>
  <c r="D48" i="11"/>
  <c r="F48" i="11"/>
  <c r="H48" i="11"/>
  <c r="J48" i="11"/>
  <c r="L48" i="11"/>
  <c r="N48" i="11"/>
  <c r="P48" i="11"/>
  <c r="R48" i="11"/>
  <c r="T48" i="11"/>
  <c r="V48" i="11"/>
  <c r="X48" i="11"/>
  <c r="Z48" i="11"/>
  <c r="AB48" i="11"/>
  <c r="AD48" i="11"/>
  <c r="AF48" i="11"/>
  <c r="AI48" i="11"/>
  <c r="AA48" i="11"/>
  <c r="AE48" i="11"/>
  <c r="C48" i="11" l="1"/>
  <c r="E49" i="11"/>
  <c r="G49" i="11"/>
  <c r="I49" i="11"/>
  <c r="K49" i="11"/>
  <c r="M49" i="11"/>
  <c r="O49" i="11"/>
  <c r="Q49" i="11"/>
  <c r="S49" i="11"/>
  <c r="U49" i="11"/>
  <c r="W49" i="11"/>
  <c r="AA49" i="11"/>
  <c r="AE49" i="11"/>
  <c r="D49" i="11"/>
  <c r="F49" i="11"/>
  <c r="H49" i="11"/>
  <c r="J49" i="11"/>
  <c r="L49" i="11"/>
  <c r="N49" i="11"/>
  <c r="P49" i="11"/>
  <c r="R49" i="11"/>
  <c r="T49" i="11"/>
  <c r="V49" i="11"/>
  <c r="X49" i="11"/>
  <c r="Z49" i="11"/>
  <c r="AB49" i="11"/>
  <c r="AD49" i="11"/>
  <c r="AF49" i="11"/>
  <c r="AI49" i="11"/>
  <c r="Y49" i="11"/>
  <c r="AC49" i="11"/>
  <c r="AG49" i="11"/>
  <c r="C49" i="11" l="1"/>
  <c r="E50" i="11"/>
  <c r="G50" i="11"/>
  <c r="I50" i="11"/>
  <c r="K50" i="11"/>
  <c r="M50" i="11"/>
  <c r="O50" i="11"/>
  <c r="Q50" i="11"/>
  <c r="S50" i="11"/>
  <c r="U50" i="11"/>
  <c r="Y50" i="11"/>
  <c r="AC50" i="11"/>
  <c r="AG50" i="11"/>
  <c r="D50" i="11"/>
  <c r="F50" i="11"/>
  <c r="H50" i="11"/>
  <c r="J50" i="11"/>
  <c r="L50" i="11"/>
  <c r="N50" i="11"/>
  <c r="P50" i="11"/>
  <c r="R50" i="11"/>
  <c r="T50" i="11"/>
  <c r="V50" i="11"/>
  <c r="X50" i="11"/>
  <c r="Z50" i="11"/>
  <c r="AB50" i="11"/>
  <c r="AD50" i="11"/>
  <c r="AF50" i="11"/>
  <c r="AI50" i="11"/>
  <c r="W50" i="11"/>
  <c r="AA50" i="11"/>
  <c r="AE50" i="11"/>
  <c r="C50" i="11" l="1"/>
  <c r="E51" i="11"/>
  <c r="G51" i="11"/>
  <c r="I51" i="11"/>
  <c r="K51" i="11"/>
  <c r="M51" i="11"/>
  <c r="O51" i="11"/>
  <c r="Q51" i="11"/>
  <c r="S51" i="11"/>
  <c r="W51" i="11"/>
  <c r="AA51" i="11"/>
  <c r="AE51" i="11"/>
  <c r="D51" i="11"/>
  <c r="F51" i="11"/>
  <c r="H51" i="11"/>
  <c r="J51" i="11"/>
  <c r="L51" i="11"/>
  <c r="N51" i="11"/>
  <c r="P51" i="11"/>
  <c r="R51" i="11"/>
  <c r="T51" i="11"/>
  <c r="V51" i="11"/>
  <c r="X51" i="11"/>
  <c r="Z51" i="11"/>
  <c r="AB51" i="11"/>
  <c r="AD51" i="11"/>
  <c r="AF51" i="11"/>
  <c r="AI51" i="11"/>
  <c r="U51" i="11"/>
  <c r="Y51" i="11"/>
  <c r="AC51" i="11"/>
  <c r="AG51" i="11"/>
  <c r="C51" i="11" l="1"/>
  <c r="E52" i="11"/>
  <c r="G52" i="11"/>
  <c r="I52" i="11"/>
  <c r="K52" i="11"/>
  <c r="M52" i="11"/>
  <c r="O52" i="11"/>
  <c r="Q52" i="11"/>
  <c r="S52" i="11"/>
  <c r="U52" i="11"/>
  <c r="Y52" i="11"/>
  <c r="AC52" i="11"/>
  <c r="D52" i="11"/>
  <c r="F52" i="11"/>
  <c r="H52" i="11"/>
  <c r="J52" i="11"/>
  <c r="L52" i="11"/>
  <c r="N52" i="11"/>
  <c r="P52" i="11"/>
  <c r="R52" i="11"/>
  <c r="T52" i="11"/>
  <c r="V52" i="11"/>
  <c r="X52" i="11"/>
  <c r="Z52" i="11"/>
  <c r="AB52" i="11"/>
  <c r="AD52" i="11"/>
  <c r="AF52" i="11"/>
  <c r="AI52" i="11"/>
  <c r="W52" i="11"/>
  <c r="AA52" i="11"/>
  <c r="AE52" i="11"/>
  <c r="AG52" i="11"/>
  <c r="C52" i="11" l="1"/>
  <c r="E53" i="11"/>
  <c r="G53" i="11"/>
  <c r="I53" i="11"/>
  <c r="K53" i="11"/>
  <c r="M53" i="11"/>
  <c r="O53" i="11"/>
  <c r="Q53" i="11"/>
  <c r="S53" i="11"/>
  <c r="U53" i="11"/>
  <c r="Y53" i="11"/>
  <c r="AC53" i="11"/>
  <c r="AG53" i="11"/>
  <c r="D53" i="11"/>
  <c r="F53" i="11"/>
  <c r="H53" i="11"/>
  <c r="J53" i="11"/>
  <c r="L53" i="11"/>
  <c r="N53" i="11"/>
  <c r="P53" i="11"/>
  <c r="R53" i="11"/>
  <c r="T53" i="11"/>
  <c r="V53" i="11"/>
  <c r="X53" i="11"/>
  <c r="Z53" i="11"/>
  <c r="AB53" i="11"/>
  <c r="AD53" i="11"/>
  <c r="AF53" i="11"/>
  <c r="AI53" i="11"/>
  <c r="W53" i="11"/>
  <c r="AA53" i="11"/>
  <c r="AE53" i="11"/>
  <c r="C53" i="11" l="1"/>
  <c r="E54" i="11"/>
  <c r="G54" i="11"/>
  <c r="I54" i="11"/>
  <c r="K54" i="11"/>
  <c r="M54" i="11"/>
  <c r="O54" i="11"/>
  <c r="Q54" i="11"/>
  <c r="S54" i="11"/>
  <c r="U54" i="11"/>
  <c r="W54" i="11"/>
  <c r="AA54" i="11"/>
  <c r="AE54" i="11"/>
  <c r="D54" i="11"/>
  <c r="F54" i="11"/>
  <c r="H54" i="11"/>
  <c r="J54" i="11"/>
  <c r="L54" i="11"/>
  <c r="N54" i="11"/>
  <c r="P54" i="11"/>
  <c r="R54" i="11"/>
  <c r="T54" i="11"/>
  <c r="V54" i="11"/>
  <c r="X54" i="11"/>
  <c r="Z54" i="11"/>
  <c r="AB54" i="11"/>
  <c r="AD54" i="11"/>
  <c r="AF54" i="11"/>
  <c r="AI54" i="11"/>
  <c r="Y54" i="11"/>
  <c r="AC54" i="11"/>
  <c r="AG54" i="11"/>
  <c r="C54" i="11" l="1"/>
  <c r="E55" i="11"/>
  <c r="G55" i="11"/>
  <c r="I55" i="11"/>
  <c r="K55" i="11"/>
  <c r="M55" i="11"/>
  <c r="O55" i="11"/>
  <c r="Q55" i="11"/>
  <c r="S55" i="11"/>
  <c r="U55" i="11"/>
  <c r="W55" i="11"/>
  <c r="AA55" i="11"/>
  <c r="AE55" i="11"/>
  <c r="D55" i="11"/>
  <c r="F55" i="11"/>
  <c r="H55" i="11"/>
  <c r="J55" i="11"/>
  <c r="L55" i="11"/>
  <c r="N55" i="11"/>
  <c r="P55" i="11"/>
  <c r="R55" i="11"/>
  <c r="T55" i="11"/>
  <c r="V55" i="11"/>
  <c r="X55" i="11"/>
  <c r="Z55" i="11"/>
  <c r="AB55" i="11"/>
  <c r="AD55" i="11"/>
  <c r="AF55" i="11"/>
  <c r="AI55" i="11"/>
  <c r="Y55" i="11"/>
  <c r="AC55" i="11"/>
  <c r="AG55" i="11"/>
  <c r="C55" i="11" l="1"/>
  <c r="E56" i="11"/>
  <c r="G56" i="11"/>
  <c r="I56" i="11"/>
  <c r="K56" i="11"/>
  <c r="M56" i="11"/>
  <c r="O56" i="11"/>
  <c r="Q56" i="11"/>
  <c r="S56" i="11"/>
  <c r="U56" i="11"/>
  <c r="Y56" i="11"/>
  <c r="AC56" i="11"/>
  <c r="AG56" i="11"/>
  <c r="D56" i="11"/>
  <c r="F56" i="11"/>
  <c r="H56" i="11"/>
  <c r="J56" i="11"/>
  <c r="L56" i="11"/>
  <c r="N56" i="11"/>
  <c r="P56" i="11"/>
  <c r="R56" i="11"/>
  <c r="T56" i="11"/>
  <c r="V56" i="11"/>
  <c r="X56" i="11"/>
  <c r="Z56" i="11"/>
  <c r="AB56" i="11"/>
  <c r="AD56" i="11"/>
  <c r="AF56" i="11"/>
  <c r="AI56" i="11"/>
  <c r="W56" i="11"/>
  <c r="AA56" i="11"/>
  <c r="AE56" i="11"/>
  <c r="C56" i="11" l="1"/>
  <c r="E57" i="11"/>
  <c r="G57" i="11"/>
  <c r="I57" i="11"/>
  <c r="K57" i="11"/>
  <c r="M57" i="11"/>
  <c r="O57" i="11"/>
  <c r="Q57" i="11"/>
  <c r="S57" i="11"/>
  <c r="U57" i="11"/>
  <c r="Y57" i="11"/>
  <c r="AC57" i="11"/>
  <c r="AG57" i="11"/>
  <c r="D57" i="11"/>
  <c r="F57" i="11"/>
  <c r="H57" i="11"/>
  <c r="J57" i="11"/>
  <c r="L57" i="11"/>
  <c r="N57" i="11"/>
  <c r="P57" i="11"/>
  <c r="R57" i="11"/>
  <c r="T57" i="11"/>
  <c r="V57" i="11"/>
  <c r="X57" i="11"/>
  <c r="Z57" i="11"/>
  <c r="AB57" i="11"/>
  <c r="AD57" i="11"/>
  <c r="AF57" i="11"/>
  <c r="AI57" i="11"/>
  <c r="W57" i="11"/>
  <c r="AA57" i="11"/>
  <c r="AE57" i="11"/>
  <c r="C57" i="11" l="1"/>
  <c r="E58" i="11"/>
  <c r="G58" i="11"/>
  <c r="I58" i="11"/>
  <c r="K58" i="11"/>
  <c r="M58" i="11"/>
  <c r="O58" i="11"/>
  <c r="Q58" i="11"/>
  <c r="S58" i="11"/>
  <c r="U58" i="11"/>
  <c r="Y58" i="11"/>
  <c r="AC58" i="11"/>
  <c r="AG58" i="11"/>
  <c r="D58" i="11"/>
  <c r="F58" i="11"/>
  <c r="H58" i="11"/>
  <c r="J58" i="11"/>
  <c r="L58" i="11"/>
  <c r="N58" i="11"/>
  <c r="P58" i="11"/>
  <c r="R58" i="11"/>
  <c r="T58" i="11"/>
  <c r="V58" i="11"/>
  <c r="X58" i="11"/>
  <c r="Z58" i="11"/>
  <c r="AB58" i="11"/>
  <c r="AD58" i="11"/>
  <c r="AF58" i="11"/>
  <c r="AI58" i="11"/>
  <c r="W58" i="11"/>
  <c r="AA58" i="11"/>
  <c r="AE58" i="11"/>
  <c r="C58" i="11" l="1"/>
  <c r="E59" i="11"/>
  <c r="G59" i="11"/>
  <c r="I59" i="11"/>
  <c r="K59" i="11"/>
  <c r="M59" i="11"/>
  <c r="O59" i="11"/>
  <c r="Q59" i="11"/>
  <c r="S59" i="11"/>
  <c r="U59" i="11"/>
  <c r="Y59" i="11"/>
  <c r="AC59" i="11"/>
  <c r="AG59" i="11"/>
  <c r="D59" i="11"/>
  <c r="F59" i="11"/>
  <c r="H59" i="11"/>
  <c r="J59" i="11"/>
  <c r="L59" i="11"/>
  <c r="N59" i="11"/>
  <c r="P59" i="11"/>
  <c r="R59" i="11"/>
  <c r="T59" i="11"/>
  <c r="V59" i="11"/>
  <c r="X59" i="11"/>
  <c r="Z59" i="11"/>
  <c r="AB59" i="11"/>
  <c r="AD59" i="11"/>
  <c r="AF59" i="11"/>
  <c r="AI59" i="11"/>
  <c r="W59" i="11"/>
  <c r="AA59" i="11"/>
  <c r="AE59" i="11"/>
  <c r="C59" i="11" l="1"/>
  <c r="E60" i="11"/>
  <c r="G60" i="11"/>
  <c r="I60" i="11"/>
  <c r="K60" i="11"/>
  <c r="M60" i="11"/>
  <c r="O60" i="11"/>
  <c r="Q60" i="11"/>
  <c r="S60" i="11"/>
  <c r="U60" i="11"/>
  <c r="W60" i="11"/>
  <c r="Y60" i="11"/>
  <c r="AC60" i="11"/>
  <c r="AG60" i="11"/>
  <c r="D60" i="11"/>
  <c r="F60" i="11"/>
  <c r="H60" i="11"/>
  <c r="J60" i="11"/>
  <c r="L60" i="11"/>
  <c r="N60" i="11"/>
  <c r="P60" i="11"/>
  <c r="R60" i="11"/>
  <c r="T60" i="11"/>
  <c r="V60" i="11"/>
  <c r="X60" i="11"/>
  <c r="Z60" i="11"/>
  <c r="AB60" i="11"/>
  <c r="AD60" i="11"/>
  <c r="AF60" i="11"/>
  <c r="AI60" i="11"/>
  <c r="AA60" i="11"/>
  <c r="AE60" i="11"/>
  <c r="C60" i="11" l="1"/>
  <c r="E61" i="11"/>
  <c r="G61" i="11"/>
  <c r="I61" i="11"/>
  <c r="K61" i="11"/>
  <c r="M61" i="11"/>
  <c r="O61" i="11"/>
  <c r="Q61" i="11"/>
  <c r="S61" i="11"/>
  <c r="U61" i="11"/>
  <c r="W61" i="11"/>
  <c r="AA61" i="11"/>
  <c r="AE61" i="11"/>
  <c r="D61" i="11"/>
  <c r="F61" i="11"/>
  <c r="H61" i="11"/>
  <c r="J61" i="11"/>
  <c r="L61" i="11"/>
  <c r="N61" i="11"/>
  <c r="P61" i="11"/>
  <c r="R61" i="11"/>
  <c r="T61" i="11"/>
  <c r="V61" i="11"/>
  <c r="X61" i="11"/>
  <c r="Z61" i="11"/>
  <c r="AB61" i="11"/>
  <c r="AD61" i="11"/>
  <c r="AF61" i="11"/>
  <c r="AI61" i="11"/>
  <c r="Y61" i="11"/>
  <c r="AC61" i="11"/>
  <c r="AG61" i="11"/>
  <c r="C61" i="11" l="1"/>
  <c r="E62" i="11"/>
  <c r="G62" i="11"/>
  <c r="I62" i="11"/>
  <c r="K62" i="11"/>
  <c r="M62" i="11"/>
  <c r="O62" i="11"/>
  <c r="Q62" i="11"/>
  <c r="S62" i="11"/>
  <c r="U62" i="11"/>
  <c r="W62" i="11"/>
  <c r="AA62" i="11"/>
  <c r="AE62" i="11"/>
  <c r="D62" i="11"/>
  <c r="F62" i="11"/>
  <c r="H62" i="11"/>
  <c r="J62" i="11"/>
  <c r="L62" i="11"/>
  <c r="N62" i="11"/>
  <c r="P62" i="11"/>
  <c r="R62" i="11"/>
  <c r="T62" i="11"/>
  <c r="V62" i="11"/>
  <c r="X62" i="11"/>
  <c r="Z62" i="11"/>
  <c r="AB62" i="11"/>
  <c r="AD62" i="11"/>
  <c r="AF62" i="11"/>
  <c r="AI62" i="11"/>
  <c r="Y62" i="11"/>
  <c r="AC62" i="11"/>
  <c r="AG62" i="11"/>
  <c r="C62" i="11" l="1"/>
  <c r="E63" i="11"/>
  <c r="G63" i="11"/>
  <c r="I63" i="11"/>
  <c r="K63" i="11"/>
  <c r="M63" i="11"/>
  <c r="O63" i="11"/>
  <c r="Q63" i="11"/>
  <c r="S63" i="11"/>
  <c r="U63" i="11"/>
  <c r="Y63" i="11"/>
  <c r="AC63" i="11"/>
  <c r="AG63" i="11"/>
  <c r="D63" i="11"/>
  <c r="F63" i="11"/>
  <c r="H63" i="11"/>
  <c r="J63" i="11"/>
  <c r="L63" i="11"/>
  <c r="N63" i="11"/>
  <c r="P63" i="11"/>
  <c r="R63" i="11"/>
  <c r="T63" i="11"/>
  <c r="V63" i="11"/>
  <c r="X63" i="11"/>
  <c r="Z63" i="11"/>
  <c r="AB63" i="11"/>
  <c r="AD63" i="11"/>
  <c r="AF63" i="11"/>
  <c r="AI63" i="11"/>
  <c r="W63" i="11"/>
  <c r="AA63" i="11"/>
  <c r="AE63" i="11"/>
  <c r="C63" i="11" l="1"/>
  <c r="E64" i="11"/>
  <c r="G64" i="11"/>
  <c r="I64" i="11"/>
  <c r="K64" i="11"/>
  <c r="M64" i="11"/>
  <c r="O64" i="11"/>
  <c r="Q64" i="11"/>
  <c r="U64" i="11"/>
  <c r="Y64" i="11"/>
  <c r="AC64" i="11"/>
  <c r="AG64" i="11"/>
  <c r="D64" i="11"/>
  <c r="F64" i="11"/>
  <c r="H64" i="11"/>
  <c r="J64" i="11"/>
  <c r="L64" i="11"/>
  <c r="N64" i="11"/>
  <c r="P64" i="11"/>
  <c r="R64" i="11"/>
  <c r="T64" i="11"/>
  <c r="V64" i="11"/>
  <c r="X64" i="11"/>
  <c r="Z64" i="11"/>
  <c r="AB64" i="11"/>
  <c r="AD64" i="11"/>
  <c r="AF64" i="11"/>
  <c r="AI64" i="11"/>
  <c r="S64" i="11"/>
  <c r="W64" i="11"/>
  <c r="AA64" i="11"/>
  <c r="AE64" i="11"/>
  <c r="C64" i="11" l="1"/>
  <c r="E65" i="11"/>
  <c r="G65" i="11"/>
  <c r="I65" i="11"/>
  <c r="K65" i="11"/>
  <c r="M65" i="11"/>
  <c r="O65" i="11"/>
  <c r="Q65" i="11"/>
  <c r="S65" i="11"/>
  <c r="U65" i="11"/>
  <c r="Y65" i="11"/>
  <c r="AC65" i="11"/>
  <c r="AG65" i="11"/>
  <c r="D65" i="11"/>
  <c r="F65" i="11"/>
  <c r="H65" i="11"/>
  <c r="J65" i="11"/>
  <c r="L65" i="11"/>
  <c r="N65" i="11"/>
  <c r="P65" i="11"/>
  <c r="R65" i="11"/>
  <c r="T65" i="11"/>
  <c r="V65" i="11"/>
  <c r="X65" i="11"/>
  <c r="Z65" i="11"/>
  <c r="AB65" i="11"/>
  <c r="AD65" i="11"/>
  <c r="AF65" i="11"/>
  <c r="AI65" i="11"/>
  <c r="W65" i="11"/>
  <c r="AA65" i="11"/>
  <c r="AE65" i="11"/>
  <c r="C65" i="11" l="1"/>
  <c r="E66" i="11"/>
  <c r="G66" i="11"/>
  <c r="I66" i="11"/>
  <c r="K66" i="11"/>
  <c r="M66" i="11"/>
  <c r="O66" i="11"/>
  <c r="Q66" i="11"/>
  <c r="S66" i="11"/>
  <c r="U66" i="11"/>
  <c r="Y66" i="11"/>
  <c r="AE66" i="11"/>
  <c r="D66" i="11"/>
  <c r="F66" i="11"/>
  <c r="H66" i="11"/>
  <c r="J66" i="11"/>
  <c r="L66" i="11"/>
  <c r="N66" i="11"/>
  <c r="P66" i="11"/>
  <c r="R66" i="11"/>
  <c r="T66" i="11"/>
  <c r="V66" i="11"/>
  <c r="X66" i="11"/>
  <c r="Z66" i="11"/>
  <c r="AB66" i="11"/>
  <c r="AD66" i="11"/>
  <c r="AF66" i="11"/>
  <c r="AI66" i="11"/>
  <c r="W66" i="11"/>
  <c r="AA66" i="11"/>
  <c r="AC66" i="11"/>
  <c r="AG66" i="11"/>
  <c r="C66" i="11" l="1"/>
  <c r="E67" i="11"/>
  <c r="G67" i="11"/>
  <c r="I67" i="11"/>
  <c r="K67" i="11"/>
  <c r="M67" i="11"/>
  <c r="O67" i="11"/>
  <c r="Q67" i="11"/>
  <c r="S67" i="11"/>
  <c r="U67" i="11"/>
  <c r="W67" i="11"/>
  <c r="AA67" i="11"/>
  <c r="AE67" i="11"/>
  <c r="D67" i="11"/>
  <c r="F67" i="11"/>
  <c r="H67" i="11"/>
  <c r="J67" i="11"/>
  <c r="L67" i="11"/>
  <c r="N67" i="11"/>
  <c r="P67" i="11"/>
  <c r="R67" i="11"/>
  <c r="T67" i="11"/>
  <c r="V67" i="11"/>
  <c r="X67" i="11"/>
  <c r="Z67" i="11"/>
  <c r="AB67" i="11"/>
  <c r="AD67" i="11"/>
  <c r="AF67" i="11"/>
  <c r="AI67" i="11"/>
  <c r="Y67" i="11"/>
  <c r="AC67" i="11"/>
  <c r="AG67" i="11"/>
  <c r="C67" i="11" l="1"/>
  <c r="E68" i="11"/>
  <c r="G68" i="11"/>
  <c r="I68" i="11"/>
  <c r="K68" i="11"/>
  <c r="M68" i="11"/>
  <c r="O68" i="11"/>
  <c r="Q68" i="11"/>
  <c r="S68" i="11"/>
  <c r="U68" i="11"/>
  <c r="Y68" i="11"/>
  <c r="AC68" i="11"/>
  <c r="AG68" i="11"/>
  <c r="D68" i="11"/>
  <c r="F68" i="11"/>
  <c r="H68" i="11"/>
  <c r="J68" i="11"/>
  <c r="L68" i="11"/>
  <c r="N68" i="11"/>
  <c r="P68" i="11"/>
  <c r="R68" i="11"/>
  <c r="T68" i="11"/>
  <c r="V68" i="11"/>
  <c r="X68" i="11"/>
  <c r="Z68" i="11"/>
  <c r="AB68" i="11"/>
  <c r="AD68" i="11"/>
  <c r="AF68" i="11"/>
  <c r="AI68" i="11"/>
  <c r="W68" i="11"/>
  <c r="AA68" i="11"/>
  <c r="AE68" i="11"/>
  <c r="C68" i="11" l="1"/>
  <c r="E69" i="11"/>
  <c r="G69" i="11"/>
  <c r="I69" i="11"/>
  <c r="K69" i="11"/>
  <c r="M69" i="11"/>
  <c r="O69" i="11"/>
  <c r="Q69" i="11"/>
  <c r="S69" i="11"/>
  <c r="U69" i="11"/>
  <c r="W69" i="11"/>
  <c r="AA69" i="11"/>
  <c r="AE69" i="11"/>
  <c r="D69" i="11"/>
  <c r="F69" i="11"/>
  <c r="H69" i="11"/>
  <c r="J69" i="11"/>
  <c r="L69" i="11"/>
  <c r="N69" i="11"/>
  <c r="P69" i="11"/>
  <c r="R69" i="11"/>
  <c r="T69" i="11"/>
  <c r="V69" i="11"/>
  <c r="X69" i="11"/>
  <c r="Z69" i="11"/>
  <c r="AB69" i="11"/>
  <c r="AD69" i="11"/>
  <c r="AF69" i="11"/>
  <c r="AI69" i="11"/>
  <c r="Y69" i="11"/>
  <c r="AC69" i="11"/>
  <c r="AG69" i="11"/>
  <c r="C69" i="11" l="1"/>
  <c r="E70" i="11"/>
  <c r="G70" i="11"/>
  <c r="I70" i="11"/>
  <c r="K70" i="11"/>
  <c r="M70" i="11"/>
  <c r="O70" i="11"/>
  <c r="Q70" i="11"/>
  <c r="S70" i="11"/>
  <c r="U70" i="11"/>
  <c r="W70" i="11"/>
  <c r="AA70" i="11"/>
  <c r="AE70" i="11"/>
  <c r="D70" i="11"/>
  <c r="F70" i="11"/>
  <c r="H70" i="11"/>
  <c r="J70" i="11"/>
  <c r="L70" i="11"/>
  <c r="N70" i="11"/>
  <c r="P70" i="11"/>
  <c r="R70" i="11"/>
  <c r="T70" i="11"/>
  <c r="V70" i="11"/>
  <c r="X70" i="11"/>
  <c r="Z70" i="11"/>
  <c r="AB70" i="11"/>
  <c r="AD70" i="11"/>
  <c r="AF70" i="11"/>
  <c r="AI70" i="11"/>
  <c r="Y70" i="11"/>
  <c r="AC70" i="11"/>
  <c r="AG70" i="11"/>
  <c r="C70" i="11" l="1"/>
  <c r="E71" i="11"/>
  <c r="G71" i="11"/>
  <c r="I71" i="11"/>
  <c r="K71" i="11"/>
  <c r="M71" i="11"/>
  <c r="O71" i="11"/>
  <c r="Q71" i="11"/>
  <c r="S71" i="11"/>
  <c r="U71" i="11"/>
  <c r="W71" i="11"/>
  <c r="Y71" i="11"/>
  <c r="AA71" i="11"/>
  <c r="AC71" i="11"/>
  <c r="AE71" i="11"/>
  <c r="AG71" i="11"/>
  <c r="D71" i="11"/>
  <c r="F71" i="11"/>
  <c r="H71" i="11"/>
  <c r="J71" i="11"/>
  <c r="L71" i="11"/>
  <c r="N71" i="11"/>
  <c r="P71" i="11"/>
  <c r="R71" i="11"/>
  <c r="T71" i="11"/>
  <c r="V71" i="11"/>
  <c r="X71" i="11"/>
  <c r="Z71" i="11"/>
  <c r="AB71" i="11"/>
  <c r="AD71" i="11"/>
  <c r="AF71" i="11"/>
  <c r="AI71" i="11"/>
  <c r="C71" i="11" l="1"/>
  <c r="D72" i="11"/>
  <c r="F72" i="11"/>
  <c r="H72" i="11"/>
  <c r="J72" i="11"/>
  <c r="L72" i="11"/>
  <c r="N72" i="11"/>
  <c r="P72" i="11"/>
  <c r="R72" i="11"/>
  <c r="T72" i="11"/>
  <c r="V72" i="11"/>
  <c r="X72" i="11"/>
  <c r="Z72" i="11"/>
  <c r="AB72" i="11"/>
  <c r="AD72" i="11"/>
  <c r="AF72" i="11"/>
  <c r="AI72" i="11"/>
  <c r="E72" i="11"/>
  <c r="G72" i="11"/>
  <c r="I72" i="11"/>
  <c r="K72" i="11"/>
  <c r="M72" i="11"/>
  <c r="O72" i="11"/>
  <c r="Q72" i="11"/>
  <c r="S72" i="11"/>
  <c r="U72" i="11"/>
  <c r="W72" i="11"/>
  <c r="Y72" i="11"/>
  <c r="AA72" i="11"/>
  <c r="AC72" i="11"/>
  <c r="AE72" i="11"/>
  <c r="AG72" i="11"/>
  <c r="C72" i="11" l="1"/>
  <c r="E73" i="11"/>
  <c r="G73" i="11"/>
  <c r="I73" i="11"/>
  <c r="K73" i="11"/>
  <c r="M73" i="11"/>
  <c r="O73" i="11"/>
  <c r="Q73" i="11"/>
  <c r="S73" i="11"/>
  <c r="U73" i="11"/>
  <c r="W73" i="11"/>
  <c r="Y73" i="11"/>
  <c r="AA73" i="11"/>
  <c r="AC73" i="11"/>
  <c r="AE73" i="11"/>
  <c r="AG73" i="11"/>
  <c r="D73" i="11"/>
  <c r="F73" i="11"/>
  <c r="H73" i="11"/>
  <c r="J73" i="11"/>
  <c r="L73" i="11"/>
  <c r="N73" i="11"/>
  <c r="P73" i="11"/>
  <c r="R73" i="11"/>
  <c r="T73" i="11"/>
  <c r="V73" i="11"/>
  <c r="X73" i="11"/>
  <c r="Z73" i="11"/>
  <c r="AB73" i="11"/>
  <c r="AD73" i="11"/>
  <c r="AF73" i="11"/>
  <c r="AI73" i="11"/>
  <c r="C73" i="11" l="1"/>
  <c r="D74" i="11"/>
  <c r="F74" i="11"/>
  <c r="H74" i="11"/>
  <c r="J74" i="11"/>
  <c r="L74" i="11"/>
  <c r="N74" i="11"/>
  <c r="P74" i="11"/>
  <c r="R74" i="11"/>
  <c r="T74" i="11"/>
  <c r="V74" i="11"/>
  <c r="X74" i="11"/>
  <c r="Z74" i="11"/>
  <c r="AB74" i="11"/>
  <c r="AD74" i="11"/>
  <c r="AF74" i="11"/>
  <c r="AI74" i="11"/>
  <c r="E74" i="11"/>
  <c r="G74" i="11"/>
  <c r="I74" i="11"/>
  <c r="K74" i="11"/>
  <c r="M74" i="11"/>
  <c r="O74" i="11"/>
  <c r="Q74" i="11"/>
  <c r="S74" i="11"/>
  <c r="U74" i="11"/>
  <c r="W74" i="11"/>
  <c r="Y74" i="11"/>
  <c r="AA74" i="11"/>
  <c r="AC74" i="11"/>
  <c r="AE74" i="11"/>
  <c r="AG74" i="11"/>
  <c r="C74" i="11" l="1"/>
  <c r="E75" i="11"/>
  <c r="G75" i="11"/>
  <c r="I75" i="11"/>
  <c r="K75" i="11"/>
  <c r="M75" i="11"/>
  <c r="O75" i="11"/>
  <c r="Q75" i="11"/>
  <c r="S75" i="11"/>
  <c r="U75" i="11"/>
  <c r="W75" i="11"/>
  <c r="Y75" i="11"/>
  <c r="AA75" i="11"/>
  <c r="AC75" i="11"/>
  <c r="AE75" i="11"/>
  <c r="AG75" i="11"/>
  <c r="D75" i="11"/>
  <c r="F75" i="11"/>
  <c r="H75" i="11"/>
  <c r="J75" i="11"/>
  <c r="L75" i="11"/>
  <c r="N75" i="11"/>
  <c r="P75" i="11"/>
  <c r="R75" i="11"/>
  <c r="T75" i="11"/>
  <c r="V75" i="11"/>
  <c r="X75" i="11"/>
  <c r="Z75" i="11"/>
  <c r="AB75" i="11"/>
  <c r="AD75" i="11"/>
  <c r="AF75" i="11"/>
  <c r="AI75" i="11"/>
  <c r="C75" i="11" l="1"/>
  <c r="D76" i="11"/>
  <c r="F76" i="11"/>
  <c r="H76" i="11"/>
  <c r="J76" i="11"/>
  <c r="L76" i="11"/>
  <c r="N76" i="11"/>
  <c r="P76" i="11"/>
  <c r="R76" i="11"/>
  <c r="T76" i="11"/>
  <c r="V76" i="11"/>
  <c r="X76" i="11"/>
  <c r="Z76" i="11"/>
  <c r="AB76" i="11"/>
  <c r="AD76" i="11"/>
  <c r="AF76" i="11"/>
  <c r="AI76" i="11"/>
  <c r="E76" i="11"/>
  <c r="G76" i="11"/>
  <c r="I76" i="11"/>
  <c r="K76" i="11"/>
  <c r="M76" i="11"/>
  <c r="O76" i="11"/>
  <c r="Q76" i="11"/>
  <c r="S76" i="11"/>
  <c r="U76" i="11"/>
  <c r="W76" i="11"/>
  <c r="Y76" i="11"/>
  <c r="AA76" i="11"/>
  <c r="AC76" i="11"/>
  <c r="AE76" i="11"/>
  <c r="AG76" i="11"/>
  <c r="C76" i="11" l="1"/>
  <c r="E77" i="11"/>
  <c r="G77" i="11"/>
  <c r="I77" i="11"/>
  <c r="K77" i="11"/>
  <c r="M77" i="11"/>
  <c r="O77" i="11"/>
  <c r="Q77" i="11"/>
  <c r="S77" i="11"/>
  <c r="U77" i="11"/>
  <c r="W77" i="11"/>
  <c r="Y77" i="11"/>
  <c r="AA77" i="11"/>
  <c r="AC77" i="11"/>
  <c r="AE77" i="11"/>
  <c r="AG77" i="11"/>
  <c r="D77" i="11"/>
  <c r="F77" i="11"/>
  <c r="H77" i="11"/>
  <c r="J77" i="11"/>
  <c r="L77" i="11"/>
  <c r="N77" i="11"/>
  <c r="P77" i="11"/>
  <c r="R77" i="11"/>
  <c r="T77" i="11"/>
  <c r="V77" i="11"/>
  <c r="X77" i="11"/>
  <c r="Z77" i="11"/>
  <c r="AB77" i="11"/>
  <c r="AD77" i="11"/>
  <c r="AF77" i="11"/>
  <c r="AI77" i="11"/>
  <c r="C77" i="11" l="1"/>
  <c r="D78" i="11"/>
  <c r="F78" i="11"/>
  <c r="H78" i="11"/>
  <c r="J78" i="11"/>
  <c r="L78" i="11"/>
  <c r="N78" i="11"/>
  <c r="P78" i="11"/>
  <c r="R78" i="11"/>
  <c r="T78" i="11"/>
  <c r="V78" i="11"/>
  <c r="X78" i="11"/>
  <c r="Z78" i="11"/>
  <c r="AB78" i="11"/>
  <c r="AD78" i="11"/>
  <c r="AF78" i="11"/>
  <c r="AI78" i="11"/>
  <c r="E78" i="11"/>
  <c r="G78" i="11"/>
  <c r="I78" i="11"/>
  <c r="K78" i="11"/>
  <c r="M78" i="11"/>
  <c r="O78" i="11"/>
  <c r="Q78" i="11"/>
  <c r="S78" i="11"/>
  <c r="U78" i="11"/>
  <c r="W78" i="11"/>
  <c r="Y78" i="11"/>
  <c r="AA78" i="11"/>
  <c r="AC78" i="11"/>
  <c r="AE78" i="11"/>
  <c r="AG78" i="11"/>
  <c r="C78" i="11" l="1"/>
  <c r="E79" i="11"/>
  <c r="G79" i="11"/>
  <c r="I79" i="11"/>
  <c r="K79" i="11"/>
  <c r="M79" i="11"/>
  <c r="O79" i="11"/>
  <c r="Q79" i="11"/>
  <c r="S79" i="11"/>
  <c r="U79" i="11"/>
  <c r="W79" i="11"/>
  <c r="Y79" i="11"/>
  <c r="AA79" i="11"/>
  <c r="AC79" i="11"/>
  <c r="AE79" i="11"/>
  <c r="AG79" i="11"/>
  <c r="D79" i="11"/>
  <c r="F79" i="11"/>
  <c r="H79" i="11"/>
  <c r="J79" i="11"/>
  <c r="L79" i="11"/>
  <c r="N79" i="11"/>
  <c r="P79" i="11"/>
  <c r="R79" i="11"/>
  <c r="T79" i="11"/>
  <c r="V79" i="11"/>
  <c r="X79" i="11"/>
  <c r="Z79" i="11"/>
  <c r="AB79" i="11"/>
  <c r="AD79" i="11"/>
  <c r="AF79" i="11"/>
  <c r="AI79" i="11"/>
  <c r="C79" i="11" l="1"/>
  <c r="D80" i="11"/>
  <c r="F80" i="11"/>
  <c r="H80" i="11"/>
  <c r="J80" i="11"/>
  <c r="L80" i="11"/>
  <c r="N80" i="11"/>
  <c r="P80" i="11"/>
  <c r="R80" i="11"/>
  <c r="T80" i="11"/>
  <c r="V80" i="11"/>
  <c r="X80" i="11"/>
  <c r="Z80" i="11"/>
  <c r="AB80" i="11"/>
  <c r="AD80" i="11"/>
  <c r="AF80" i="11"/>
  <c r="AI80" i="11"/>
  <c r="E80" i="11"/>
  <c r="G80" i="11"/>
  <c r="I80" i="11"/>
  <c r="K80" i="11"/>
  <c r="M80" i="11"/>
  <c r="O80" i="11"/>
  <c r="Q80" i="11"/>
  <c r="S80" i="11"/>
  <c r="U80" i="11"/>
  <c r="W80" i="11"/>
  <c r="Y80" i="11"/>
  <c r="AA80" i="11"/>
  <c r="AC80" i="11"/>
  <c r="AE80" i="11"/>
  <c r="AG80" i="11"/>
  <c r="C80" i="11" l="1"/>
  <c r="E81" i="11"/>
  <c r="G81" i="11"/>
  <c r="I81" i="11"/>
  <c r="K81" i="11"/>
  <c r="M81" i="11"/>
  <c r="O81" i="11"/>
  <c r="Q81" i="11"/>
  <c r="S81" i="11"/>
  <c r="U81" i="11"/>
  <c r="W81" i="11"/>
  <c r="Y81" i="11"/>
  <c r="AA81" i="11"/>
  <c r="AC81" i="11"/>
  <c r="AE81" i="11"/>
  <c r="AG81" i="11"/>
  <c r="D81" i="11"/>
  <c r="F81" i="11"/>
  <c r="H81" i="11"/>
  <c r="J81" i="11"/>
  <c r="L81" i="11"/>
  <c r="N81" i="11"/>
  <c r="P81" i="11"/>
  <c r="R81" i="11"/>
  <c r="T81" i="11"/>
  <c r="V81" i="11"/>
  <c r="X81" i="11"/>
  <c r="Z81" i="11"/>
  <c r="AB81" i="11"/>
  <c r="AD81" i="11"/>
  <c r="AF81" i="11"/>
  <c r="AI81" i="11"/>
  <c r="C81" i="11" l="1"/>
  <c r="D82" i="11"/>
  <c r="F82" i="11"/>
  <c r="H82" i="11"/>
  <c r="J82" i="11"/>
  <c r="L82" i="11"/>
  <c r="N82" i="11"/>
  <c r="P82" i="11"/>
  <c r="R82" i="11"/>
  <c r="T82" i="11"/>
  <c r="V82" i="11"/>
  <c r="X82" i="11"/>
  <c r="Z82" i="11"/>
  <c r="AB82" i="11"/>
  <c r="AD82" i="11"/>
  <c r="AF82" i="11"/>
  <c r="AI82" i="11"/>
  <c r="E82" i="11"/>
  <c r="G82" i="11"/>
  <c r="I82" i="11"/>
  <c r="K82" i="11"/>
  <c r="M82" i="11"/>
  <c r="O82" i="11"/>
  <c r="Q82" i="11"/>
  <c r="S82" i="11"/>
  <c r="U82" i="11"/>
  <c r="W82" i="11"/>
  <c r="Y82" i="11"/>
  <c r="AA82" i="11"/>
  <c r="AC82" i="11"/>
  <c r="AE82" i="11"/>
  <c r="AG82" i="11"/>
  <c r="C82" i="11" l="1"/>
  <c r="E83" i="11"/>
  <c r="G83" i="11"/>
  <c r="I83" i="11"/>
  <c r="K83" i="11"/>
  <c r="M83" i="11"/>
  <c r="O83" i="11"/>
  <c r="Q83" i="11"/>
  <c r="S83" i="11"/>
  <c r="U83" i="11"/>
  <c r="W83" i="11"/>
  <c r="Y83" i="11"/>
  <c r="AA83" i="11"/>
  <c r="AC83" i="11"/>
  <c r="AE83" i="11"/>
  <c r="AG83" i="11"/>
  <c r="D83" i="11"/>
  <c r="F83" i="11"/>
  <c r="H83" i="11"/>
  <c r="J83" i="11"/>
  <c r="L83" i="11"/>
  <c r="N83" i="11"/>
  <c r="P83" i="11"/>
  <c r="R83" i="11"/>
  <c r="T83" i="11"/>
  <c r="V83" i="11"/>
  <c r="X83" i="11"/>
  <c r="Z83" i="11"/>
  <c r="AB83" i="11"/>
  <c r="AD83" i="11"/>
  <c r="AF83" i="11"/>
  <c r="AI83" i="11"/>
  <c r="C83" i="11" l="1"/>
  <c r="D84" i="11"/>
  <c r="F84" i="11"/>
  <c r="H84" i="11"/>
  <c r="J84" i="11"/>
  <c r="L84" i="11"/>
  <c r="N84" i="11"/>
  <c r="P84" i="11"/>
  <c r="R84" i="11"/>
  <c r="T84" i="11"/>
  <c r="V84" i="11"/>
  <c r="X84" i="11"/>
  <c r="Z84" i="11"/>
  <c r="AB84" i="11"/>
  <c r="AD84" i="11"/>
  <c r="AF84" i="11"/>
  <c r="AI84" i="11"/>
  <c r="E84" i="11"/>
  <c r="G84" i="11"/>
  <c r="I84" i="11"/>
  <c r="K84" i="11"/>
  <c r="M84" i="11"/>
  <c r="O84" i="11"/>
  <c r="Q84" i="11"/>
  <c r="S84" i="11"/>
  <c r="U84" i="11"/>
  <c r="W84" i="11"/>
  <c r="Y84" i="11"/>
  <c r="AA84" i="11"/>
  <c r="AC84" i="11"/>
  <c r="AE84" i="11"/>
  <c r="AG84" i="11"/>
  <c r="C84" i="11" l="1"/>
  <c r="E85" i="11"/>
  <c r="G85" i="11"/>
  <c r="I85" i="11"/>
  <c r="K85" i="11"/>
  <c r="M85" i="11"/>
  <c r="O85" i="11"/>
  <c r="Q85" i="11"/>
  <c r="S85" i="11"/>
  <c r="U85" i="11"/>
  <c r="W85" i="11"/>
  <c r="Y85" i="11"/>
  <c r="AA85" i="11"/>
  <c r="AC85" i="11"/>
  <c r="AE85" i="11"/>
  <c r="AG85" i="11"/>
  <c r="D85" i="11"/>
  <c r="F85" i="11"/>
  <c r="H85" i="11"/>
  <c r="J85" i="11"/>
  <c r="L85" i="11"/>
  <c r="N85" i="11"/>
  <c r="P85" i="11"/>
  <c r="R85" i="11"/>
  <c r="T85" i="11"/>
  <c r="V85" i="11"/>
  <c r="X85" i="11"/>
  <c r="Z85" i="11"/>
  <c r="AB85" i="11"/>
  <c r="AD85" i="11"/>
  <c r="AF85" i="11"/>
  <c r="AI85" i="11"/>
  <c r="C85" i="11" l="1"/>
  <c r="D86" i="11"/>
  <c r="F86" i="11"/>
  <c r="H86" i="11"/>
  <c r="J86" i="11"/>
  <c r="L86" i="11"/>
  <c r="N86" i="11"/>
  <c r="P86" i="11"/>
  <c r="R86" i="11"/>
  <c r="T86" i="11"/>
  <c r="V86" i="11"/>
  <c r="X86" i="11"/>
  <c r="Z86" i="11"/>
  <c r="AB86" i="11"/>
  <c r="AD86" i="11"/>
  <c r="AF86" i="11"/>
  <c r="AI86" i="11"/>
  <c r="E86" i="11"/>
  <c r="G86" i="11"/>
  <c r="I86" i="11"/>
  <c r="K86" i="11"/>
  <c r="M86" i="11"/>
  <c r="O86" i="11"/>
  <c r="Q86" i="11"/>
  <c r="S86" i="11"/>
  <c r="U86" i="11"/>
  <c r="W86" i="11"/>
  <c r="Y86" i="11"/>
  <c r="AA86" i="11"/>
  <c r="AC86" i="11"/>
  <c r="AE86" i="11"/>
  <c r="AG86" i="11"/>
  <c r="C86" i="11" l="1"/>
  <c r="E87" i="11"/>
  <c r="G87" i="11"/>
  <c r="I87" i="11"/>
  <c r="K87" i="11"/>
  <c r="M87" i="11"/>
  <c r="O87" i="11"/>
  <c r="Q87" i="11"/>
  <c r="S87" i="11"/>
  <c r="U87" i="11"/>
  <c r="W87" i="11"/>
  <c r="Y87" i="11"/>
  <c r="AA87" i="11"/>
  <c r="AC87" i="11"/>
  <c r="AE87" i="11"/>
  <c r="AG87" i="11"/>
  <c r="D87" i="11"/>
  <c r="F87" i="11"/>
  <c r="H87" i="11"/>
  <c r="J87" i="11"/>
  <c r="L87" i="11"/>
  <c r="N87" i="11"/>
  <c r="P87" i="11"/>
  <c r="R87" i="11"/>
  <c r="T87" i="11"/>
  <c r="V87" i="11"/>
  <c r="X87" i="11"/>
  <c r="Z87" i="11"/>
  <c r="AB87" i="11"/>
  <c r="AD87" i="11"/>
  <c r="AF87" i="11"/>
  <c r="AI87" i="11"/>
  <c r="C87" i="11" l="1"/>
  <c r="D88" i="11"/>
  <c r="F88" i="11"/>
  <c r="H88" i="11"/>
  <c r="J88" i="11"/>
  <c r="L88" i="11"/>
  <c r="N88" i="11"/>
  <c r="P88" i="11"/>
  <c r="R88" i="11"/>
  <c r="T88" i="11"/>
  <c r="V88" i="11"/>
  <c r="X88" i="11"/>
  <c r="Z88" i="11"/>
  <c r="AB88" i="11"/>
  <c r="AD88" i="11"/>
  <c r="AF88" i="11"/>
  <c r="AI88" i="11"/>
  <c r="E88" i="11"/>
  <c r="G88" i="11"/>
  <c r="I88" i="11"/>
  <c r="K88" i="11"/>
  <c r="M88" i="11"/>
  <c r="O88" i="11"/>
  <c r="Q88" i="11"/>
  <c r="S88" i="11"/>
  <c r="U88" i="11"/>
  <c r="W88" i="11"/>
  <c r="Y88" i="11"/>
  <c r="AA88" i="11"/>
  <c r="AC88" i="11"/>
  <c r="AE88" i="11"/>
  <c r="AG88" i="11"/>
  <c r="C88" i="11" l="1"/>
  <c r="E89" i="11"/>
  <c r="G89" i="11"/>
  <c r="I89" i="11"/>
  <c r="K89" i="11"/>
  <c r="M89" i="11"/>
  <c r="O89" i="11"/>
  <c r="Q89" i="11"/>
  <c r="S89" i="11"/>
  <c r="U89" i="11"/>
  <c r="W89" i="11"/>
  <c r="Y89" i="11"/>
  <c r="AA89" i="11"/>
  <c r="AC89" i="11"/>
  <c r="AE89" i="11"/>
  <c r="AG89" i="11"/>
  <c r="D89" i="11"/>
  <c r="F89" i="11"/>
  <c r="H89" i="11"/>
  <c r="J89" i="11"/>
  <c r="L89" i="11"/>
  <c r="N89" i="11"/>
  <c r="P89" i="11"/>
  <c r="R89" i="11"/>
  <c r="T89" i="11"/>
  <c r="V89" i="11"/>
  <c r="X89" i="11"/>
  <c r="Z89" i="11"/>
  <c r="AB89" i="11"/>
  <c r="AD89" i="11"/>
  <c r="AF89" i="11"/>
  <c r="AI89" i="11"/>
  <c r="C89" i="11" l="1"/>
  <c r="D90" i="11"/>
  <c r="F90" i="11"/>
  <c r="H90" i="11"/>
  <c r="J90" i="11"/>
  <c r="L90" i="11"/>
  <c r="N90" i="11"/>
  <c r="P90" i="11"/>
  <c r="R90" i="11"/>
  <c r="T90" i="11"/>
  <c r="V90" i="11"/>
  <c r="X90" i="11"/>
  <c r="Z90" i="11"/>
  <c r="AB90" i="11"/>
  <c r="AD90" i="11"/>
  <c r="AF90" i="11"/>
  <c r="AI90" i="11"/>
  <c r="E90" i="11"/>
  <c r="G90" i="11"/>
  <c r="I90" i="11"/>
  <c r="K90" i="11"/>
  <c r="M90" i="11"/>
  <c r="O90" i="11"/>
  <c r="Q90" i="11"/>
  <c r="S90" i="11"/>
  <c r="U90" i="11"/>
  <c r="W90" i="11"/>
  <c r="Y90" i="11"/>
  <c r="AA90" i="11"/>
  <c r="AC90" i="11"/>
  <c r="AE90" i="11"/>
  <c r="AG90" i="11"/>
  <c r="C90" i="11" l="1"/>
  <c r="E91" i="11"/>
  <c r="G91" i="11"/>
  <c r="I91" i="11"/>
  <c r="K91" i="11"/>
  <c r="M91" i="11"/>
  <c r="O91" i="11"/>
  <c r="Q91" i="11"/>
  <c r="S91" i="11"/>
  <c r="U91" i="11"/>
  <c r="W91" i="11"/>
  <c r="Y91" i="11"/>
  <c r="AA91" i="11"/>
  <c r="AC91" i="11"/>
  <c r="AE91" i="11"/>
  <c r="AG91" i="11"/>
  <c r="D91" i="11"/>
  <c r="F91" i="11"/>
  <c r="H91" i="11"/>
  <c r="J91" i="11"/>
  <c r="L91" i="11"/>
  <c r="N91" i="11"/>
  <c r="P91" i="11"/>
  <c r="R91" i="11"/>
  <c r="T91" i="11"/>
  <c r="V91" i="11"/>
  <c r="X91" i="11"/>
  <c r="Z91" i="11"/>
  <c r="AB91" i="11"/>
  <c r="AD91" i="11"/>
  <c r="AF91" i="11"/>
  <c r="AI91" i="11"/>
  <c r="C91" i="11" l="1"/>
  <c r="D92" i="11"/>
  <c r="F92" i="11"/>
  <c r="H92" i="11"/>
  <c r="J92" i="11"/>
  <c r="L92" i="11"/>
  <c r="N92" i="11"/>
  <c r="P92" i="11"/>
  <c r="R92" i="11"/>
  <c r="T92" i="11"/>
  <c r="V92" i="11"/>
  <c r="X92" i="11"/>
  <c r="Z92" i="11"/>
  <c r="AB92" i="11"/>
  <c r="AD92" i="11"/>
  <c r="AF92" i="11"/>
  <c r="AI92" i="11"/>
  <c r="E92" i="11"/>
  <c r="G92" i="11"/>
  <c r="I92" i="11"/>
  <c r="K92" i="11"/>
  <c r="M92" i="11"/>
  <c r="O92" i="11"/>
  <c r="Q92" i="11"/>
  <c r="S92" i="11"/>
  <c r="U92" i="11"/>
  <c r="W92" i="11"/>
  <c r="Y92" i="11"/>
  <c r="AA92" i="11"/>
  <c r="AC92" i="11"/>
  <c r="AE92" i="11"/>
  <c r="AG92" i="11"/>
  <c r="C92" i="11" l="1"/>
  <c r="E93" i="11"/>
  <c r="G93" i="11"/>
  <c r="I93" i="11"/>
  <c r="K93" i="11"/>
  <c r="M93" i="11"/>
  <c r="O93" i="11"/>
  <c r="Q93" i="11"/>
  <c r="S93" i="11"/>
  <c r="U93" i="11"/>
  <c r="W93" i="11"/>
  <c r="Y93" i="11"/>
  <c r="AA93" i="11"/>
  <c r="AC93" i="11"/>
  <c r="AE93" i="11"/>
  <c r="AG93" i="11"/>
  <c r="D93" i="11"/>
  <c r="F93" i="11"/>
  <c r="H93" i="11"/>
  <c r="J93" i="11"/>
  <c r="L93" i="11"/>
  <c r="N93" i="11"/>
  <c r="P93" i="11"/>
  <c r="R93" i="11"/>
  <c r="T93" i="11"/>
  <c r="V93" i="11"/>
  <c r="X93" i="11"/>
  <c r="Z93" i="11"/>
  <c r="AB93" i="11"/>
  <c r="AD93" i="11"/>
  <c r="AF93" i="11"/>
  <c r="AI93" i="11"/>
  <c r="C93" i="11" l="1"/>
  <c r="D94" i="11"/>
  <c r="F94" i="11"/>
  <c r="H94" i="11"/>
  <c r="J94" i="11"/>
  <c r="L94" i="11"/>
  <c r="N94" i="11"/>
  <c r="P94" i="11"/>
  <c r="R94" i="11"/>
  <c r="T94" i="11"/>
  <c r="V94" i="11"/>
  <c r="X94" i="11"/>
  <c r="Z94" i="11"/>
  <c r="AB94" i="11"/>
  <c r="AD94" i="11"/>
  <c r="AF94" i="11"/>
  <c r="AI94" i="11"/>
  <c r="E94" i="11"/>
  <c r="G94" i="11"/>
  <c r="I94" i="11"/>
  <c r="K94" i="11"/>
  <c r="M94" i="11"/>
  <c r="O94" i="11"/>
  <c r="Q94" i="11"/>
  <c r="S94" i="11"/>
  <c r="U94" i="11"/>
  <c r="W94" i="11"/>
  <c r="Y94" i="11"/>
  <c r="AA94" i="11"/>
  <c r="AC94" i="11"/>
  <c r="AE94" i="11"/>
  <c r="AG94" i="11"/>
  <c r="C94" i="11" l="1"/>
  <c r="E95" i="11"/>
  <c r="G95" i="11"/>
  <c r="I95" i="11"/>
  <c r="K95" i="11"/>
  <c r="M95" i="11"/>
  <c r="O95" i="11"/>
  <c r="Q95" i="11"/>
  <c r="S95" i="11"/>
  <c r="U95" i="11"/>
  <c r="W95" i="11"/>
  <c r="Y95" i="11"/>
  <c r="AA95" i="11"/>
  <c r="AC95" i="11"/>
  <c r="AE95" i="11"/>
  <c r="AG95" i="11"/>
  <c r="D95" i="11"/>
  <c r="F95" i="11"/>
  <c r="H95" i="11"/>
  <c r="J95" i="11"/>
  <c r="L95" i="11"/>
  <c r="N95" i="11"/>
  <c r="P95" i="11"/>
  <c r="R95" i="11"/>
  <c r="T95" i="11"/>
  <c r="V95" i="11"/>
  <c r="X95" i="11"/>
  <c r="Z95" i="11"/>
  <c r="AB95" i="11"/>
  <c r="AD95" i="11"/>
  <c r="AF95" i="11"/>
  <c r="AI95" i="11"/>
  <c r="C95" i="11" l="1"/>
  <c r="D96" i="11"/>
  <c r="F96" i="11"/>
  <c r="H96" i="11"/>
  <c r="J96" i="11"/>
  <c r="L96" i="11"/>
  <c r="N96" i="11"/>
  <c r="P96" i="11"/>
  <c r="R96" i="11"/>
  <c r="T96" i="11"/>
  <c r="V96" i="11"/>
  <c r="X96" i="11"/>
  <c r="Z96" i="11"/>
  <c r="AB96" i="11"/>
  <c r="AD96" i="11"/>
  <c r="AF96" i="11"/>
  <c r="AI96" i="11"/>
  <c r="E96" i="11"/>
  <c r="G96" i="11"/>
  <c r="I96" i="11"/>
  <c r="K96" i="11"/>
  <c r="M96" i="11"/>
  <c r="O96" i="11"/>
  <c r="Q96" i="11"/>
  <c r="S96" i="11"/>
  <c r="U96" i="11"/>
  <c r="W96" i="11"/>
  <c r="Y96" i="11"/>
  <c r="AA96" i="11"/>
  <c r="AC96" i="11"/>
  <c r="AE96" i="11"/>
  <c r="AG96" i="11"/>
  <c r="C96" i="11" l="1"/>
  <c r="E97" i="11"/>
  <c r="G97" i="11"/>
  <c r="I97" i="11"/>
  <c r="K97" i="11"/>
  <c r="M97" i="11"/>
  <c r="O97" i="11"/>
  <c r="Q97" i="11"/>
  <c r="S97" i="11"/>
  <c r="U97" i="11"/>
  <c r="W97" i="11"/>
  <c r="Y97" i="11"/>
  <c r="AA97" i="11"/>
  <c r="AC97" i="11"/>
  <c r="AE97" i="11"/>
  <c r="AG97" i="11"/>
  <c r="D97" i="11"/>
  <c r="F97" i="11"/>
  <c r="H97" i="11"/>
  <c r="J97" i="11"/>
  <c r="L97" i="11"/>
  <c r="N97" i="11"/>
  <c r="P97" i="11"/>
  <c r="R97" i="11"/>
  <c r="T97" i="11"/>
  <c r="V97" i="11"/>
  <c r="X97" i="11"/>
  <c r="Z97" i="11"/>
  <c r="AB97" i="11"/>
  <c r="AD97" i="11"/>
  <c r="AF97" i="11"/>
  <c r="AI97" i="11"/>
  <c r="C97" i="11" l="1"/>
  <c r="D98" i="11"/>
  <c r="F98" i="11"/>
  <c r="H98" i="11"/>
  <c r="J98" i="11"/>
  <c r="L98" i="11"/>
  <c r="N98" i="11"/>
  <c r="P98" i="11"/>
  <c r="R98" i="11"/>
  <c r="T98" i="11"/>
  <c r="V98" i="11"/>
  <c r="X98" i="11"/>
  <c r="Z98" i="11"/>
  <c r="AB98" i="11"/>
  <c r="AD98" i="11"/>
  <c r="AF98" i="11"/>
  <c r="AI98" i="11"/>
  <c r="E98" i="11"/>
  <c r="G98" i="11"/>
  <c r="I98" i="11"/>
  <c r="K98" i="11"/>
  <c r="M98" i="11"/>
  <c r="O98" i="11"/>
  <c r="Q98" i="11"/>
  <c r="S98" i="11"/>
  <c r="U98" i="11"/>
  <c r="W98" i="11"/>
  <c r="Y98" i="11"/>
  <c r="AA98" i="11"/>
  <c r="AC98" i="11"/>
  <c r="AE98" i="11"/>
  <c r="AG98" i="11"/>
  <c r="C98" i="11" l="1"/>
  <c r="E99" i="11"/>
  <c r="G99" i="11"/>
  <c r="I99" i="11"/>
  <c r="K99" i="11"/>
  <c r="M99" i="11"/>
  <c r="O99" i="11"/>
  <c r="Q99" i="11"/>
  <c r="S99" i="11"/>
  <c r="U99" i="11"/>
  <c r="W99" i="11"/>
  <c r="Y99" i="11"/>
  <c r="AA99" i="11"/>
  <c r="AC99" i="11"/>
  <c r="AE99" i="11"/>
  <c r="AG99" i="11"/>
  <c r="D99" i="11"/>
  <c r="F99" i="11"/>
  <c r="H99" i="11"/>
  <c r="J99" i="11"/>
  <c r="L99" i="11"/>
  <c r="N99" i="11"/>
  <c r="P99" i="11"/>
  <c r="R99" i="11"/>
  <c r="T99" i="11"/>
  <c r="V99" i="11"/>
  <c r="X99" i="11"/>
  <c r="Z99" i="11"/>
  <c r="AB99" i="11"/>
  <c r="AD99" i="11"/>
  <c r="AF99" i="11"/>
  <c r="AI99" i="11"/>
  <c r="C99" i="11" l="1"/>
  <c r="D100" i="11"/>
  <c r="F100" i="11"/>
  <c r="H100" i="11"/>
  <c r="J100" i="11"/>
  <c r="L100" i="11"/>
  <c r="N100" i="11"/>
  <c r="P100" i="11"/>
  <c r="R100" i="11"/>
  <c r="T100" i="11"/>
  <c r="V100" i="11"/>
  <c r="X100" i="11"/>
  <c r="Z100" i="11"/>
  <c r="AB100" i="11"/>
  <c r="AD100" i="11"/>
  <c r="AF100" i="11"/>
  <c r="AI100" i="11"/>
  <c r="E100" i="11"/>
  <c r="G100" i="11"/>
  <c r="I100" i="11"/>
  <c r="K100" i="11"/>
  <c r="M100" i="11"/>
  <c r="O100" i="11"/>
  <c r="Q100" i="11"/>
  <c r="S100" i="11"/>
  <c r="U100" i="11"/>
  <c r="W100" i="11"/>
  <c r="Y100" i="11"/>
  <c r="AA100" i="11"/>
  <c r="AC100" i="11"/>
  <c r="AE100" i="11"/>
  <c r="AG100" i="11"/>
  <c r="C100" i="11" l="1"/>
  <c r="E101" i="11"/>
  <c r="G101" i="11"/>
  <c r="I101" i="11"/>
  <c r="K101" i="11"/>
  <c r="M101" i="11"/>
  <c r="O101" i="11"/>
  <c r="Q101" i="11"/>
  <c r="S101" i="11"/>
  <c r="U101" i="11"/>
  <c r="W101" i="11"/>
  <c r="Y101" i="11"/>
  <c r="AA101" i="11"/>
  <c r="AC101" i="11"/>
  <c r="AE101" i="11"/>
  <c r="AG101" i="11"/>
  <c r="D101" i="11"/>
  <c r="F101" i="11"/>
  <c r="H101" i="11"/>
  <c r="J101" i="11"/>
  <c r="L101" i="11"/>
  <c r="N101" i="11"/>
  <c r="P101" i="11"/>
  <c r="R101" i="11"/>
  <c r="T101" i="11"/>
  <c r="V101" i="11"/>
  <c r="X101" i="11"/>
  <c r="Z101" i="11"/>
  <c r="AB101" i="11"/>
  <c r="AD101" i="11"/>
  <c r="AF101" i="11"/>
  <c r="AI101" i="11"/>
  <c r="C101" i="11" l="1"/>
  <c r="D102" i="11"/>
  <c r="F102" i="11"/>
  <c r="H102" i="11"/>
  <c r="J102" i="11"/>
  <c r="L102" i="11"/>
  <c r="N102" i="11"/>
  <c r="P102" i="11"/>
  <c r="R102" i="11"/>
  <c r="T102" i="11"/>
  <c r="V102" i="11"/>
  <c r="X102" i="11"/>
  <c r="Z102" i="11"/>
  <c r="AB102" i="11"/>
  <c r="AD102" i="11"/>
  <c r="AF102" i="11"/>
  <c r="AI102" i="11"/>
  <c r="E102" i="11"/>
  <c r="G102" i="11"/>
  <c r="I102" i="11"/>
  <c r="K102" i="11"/>
  <c r="M102" i="11"/>
  <c r="O102" i="11"/>
  <c r="Q102" i="11"/>
  <c r="S102" i="11"/>
  <c r="U102" i="11"/>
  <c r="W102" i="11"/>
  <c r="Y102" i="11"/>
  <c r="AA102" i="11"/>
  <c r="AC102" i="11"/>
  <c r="AE102" i="11"/>
  <c r="AG102" i="11"/>
  <c r="C102" i="11" l="1"/>
  <c r="E103" i="11"/>
  <c r="G103" i="11"/>
  <c r="I103" i="11"/>
  <c r="K103" i="11"/>
  <c r="M103" i="11"/>
  <c r="O103" i="11"/>
  <c r="Q103" i="11"/>
  <c r="S103" i="11"/>
  <c r="U103" i="11"/>
  <c r="W103" i="11"/>
  <c r="Y103" i="11"/>
  <c r="AA103" i="11"/>
  <c r="AC103" i="11"/>
  <c r="AE103" i="11"/>
  <c r="AG103" i="11"/>
  <c r="D103" i="11"/>
  <c r="F103" i="11"/>
  <c r="H103" i="11"/>
  <c r="J103" i="11"/>
  <c r="L103" i="11"/>
  <c r="N103" i="11"/>
  <c r="P103" i="11"/>
  <c r="R103" i="11"/>
  <c r="T103" i="11"/>
  <c r="V103" i="11"/>
  <c r="X103" i="11"/>
  <c r="Z103" i="11"/>
  <c r="AB103" i="11"/>
  <c r="AD103" i="11"/>
  <c r="AF103" i="11"/>
  <c r="AI103" i="11"/>
  <c r="C103" i="11" l="1"/>
  <c r="D104" i="11"/>
  <c r="F104" i="11"/>
  <c r="H104" i="11"/>
  <c r="J104" i="11"/>
  <c r="L104" i="11"/>
  <c r="N104" i="11"/>
  <c r="P104" i="11"/>
  <c r="R104" i="11"/>
  <c r="T104" i="11"/>
  <c r="V104" i="11"/>
  <c r="X104" i="11"/>
  <c r="Z104" i="11"/>
  <c r="AB104" i="11"/>
  <c r="AD104" i="11"/>
  <c r="AF104" i="11"/>
  <c r="AI104" i="11"/>
  <c r="E104" i="11"/>
  <c r="G104" i="11"/>
  <c r="I104" i="11"/>
  <c r="K104" i="11"/>
  <c r="M104" i="11"/>
  <c r="O104" i="11"/>
  <c r="Q104" i="11"/>
  <c r="S104" i="11"/>
  <c r="U104" i="11"/>
  <c r="W104" i="11"/>
  <c r="Y104" i="11"/>
  <c r="AA104" i="11"/>
  <c r="AC104" i="11"/>
  <c r="AE104" i="11"/>
  <c r="AG104" i="11"/>
  <c r="C104" i="11" l="1"/>
  <c r="E105" i="11"/>
  <c r="G105" i="11"/>
  <c r="I105" i="11"/>
  <c r="K105" i="11"/>
  <c r="M105" i="11"/>
  <c r="O105" i="11"/>
  <c r="Q105" i="11"/>
  <c r="S105" i="11"/>
  <c r="U105" i="11"/>
  <c r="W105" i="11"/>
  <c r="Y105" i="11"/>
  <c r="AA105" i="11"/>
  <c r="AC105" i="11"/>
  <c r="AE105" i="11"/>
  <c r="AG105" i="11"/>
  <c r="D105" i="11"/>
  <c r="F105" i="11"/>
  <c r="H105" i="11"/>
  <c r="J105" i="11"/>
  <c r="L105" i="11"/>
  <c r="N105" i="11"/>
  <c r="P105" i="11"/>
  <c r="R105" i="11"/>
  <c r="T105" i="11"/>
  <c r="V105" i="11"/>
  <c r="X105" i="11"/>
  <c r="Z105" i="11"/>
  <c r="AB105" i="11"/>
  <c r="AD105" i="11"/>
  <c r="AF105" i="11"/>
  <c r="AI105" i="11"/>
  <c r="C105" i="11" l="1"/>
  <c r="D106" i="11"/>
  <c r="F106" i="11"/>
  <c r="H106" i="11"/>
  <c r="J106" i="11"/>
  <c r="L106" i="11"/>
  <c r="N106" i="11"/>
  <c r="P106" i="11"/>
  <c r="R106" i="11"/>
  <c r="T106" i="11"/>
  <c r="V106" i="11"/>
  <c r="X106" i="11"/>
  <c r="Z106" i="11"/>
  <c r="AB106" i="11"/>
  <c r="AD106" i="11"/>
  <c r="AF106" i="11"/>
  <c r="AI106" i="11"/>
  <c r="E106" i="11"/>
  <c r="G106" i="11"/>
  <c r="I106" i="11"/>
  <c r="K106" i="11"/>
  <c r="M106" i="11"/>
  <c r="O106" i="11"/>
  <c r="Q106" i="11"/>
  <c r="S106" i="11"/>
  <c r="U106" i="11"/>
  <c r="W106" i="11"/>
  <c r="Y106" i="11"/>
  <c r="AA106" i="11"/>
  <c r="AC106" i="11"/>
  <c r="AE106" i="11"/>
  <c r="AG106" i="11"/>
  <c r="C106" i="11" l="1"/>
  <c r="E107" i="11"/>
  <c r="G107" i="11"/>
  <c r="I107" i="11"/>
  <c r="K107" i="11"/>
  <c r="M107" i="11"/>
  <c r="O107" i="11"/>
  <c r="Q107" i="11"/>
  <c r="S107" i="11"/>
  <c r="U107" i="11"/>
  <c r="W107" i="11"/>
  <c r="Y107" i="11"/>
  <c r="AA107" i="11"/>
  <c r="AC107" i="11"/>
  <c r="AE107" i="11"/>
  <c r="AG107" i="11"/>
  <c r="D107" i="11"/>
  <c r="F107" i="11"/>
  <c r="H107" i="11"/>
  <c r="J107" i="11"/>
  <c r="L107" i="11"/>
  <c r="N107" i="11"/>
  <c r="P107" i="11"/>
  <c r="R107" i="11"/>
  <c r="T107" i="11"/>
  <c r="V107" i="11"/>
  <c r="X107" i="11"/>
  <c r="Z107" i="11"/>
  <c r="AB107" i="11"/>
  <c r="AD107" i="11"/>
  <c r="AF107" i="11"/>
  <c r="AI107" i="11"/>
  <c r="C107" i="11" l="1"/>
  <c r="D108" i="11"/>
  <c r="F108" i="11"/>
  <c r="H108" i="11"/>
  <c r="J108" i="11"/>
  <c r="L108" i="11"/>
  <c r="N108" i="11"/>
  <c r="P108" i="11"/>
  <c r="R108" i="11"/>
  <c r="T108" i="11"/>
  <c r="V108" i="11"/>
  <c r="X108" i="11"/>
  <c r="Z108" i="11"/>
  <c r="AB108" i="11"/>
  <c r="AD108" i="11"/>
  <c r="AF108" i="11"/>
  <c r="AI108" i="11"/>
  <c r="E108" i="11"/>
  <c r="G108" i="11"/>
  <c r="I108" i="11"/>
  <c r="K108" i="11"/>
  <c r="M108" i="11"/>
  <c r="O108" i="11"/>
  <c r="Q108" i="11"/>
  <c r="S108" i="11"/>
  <c r="U108" i="11"/>
  <c r="W108" i="11"/>
  <c r="Y108" i="11"/>
  <c r="AA108" i="11"/>
  <c r="AC108" i="11"/>
  <c r="AE108" i="11"/>
  <c r="AG108" i="11"/>
  <c r="C108" i="11" l="1"/>
  <c r="E109" i="11"/>
  <c r="G109" i="11"/>
  <c r="I109" i="11"/>
  <c r="K109" i="11"/>
  <c r="M109" i="11"/>
  <c r="O109" i="11"/>
  <c r="Q109" i="11"/>
  <c r="S109" i="11"/>
  <c r="U109" i="11"/>
  <c r="W109" i="11"/>
  <c r="Y109" i="11"/>
  <c r="AA109" i="11"/>
  <c r="AC109" i="11"/>
  <c r="AE109" i="11"/>
  <c r="AG109" i="11"/>
  <c r="D109" i="11"/>
  <c r="F109" i="11"/>
  <c r="H109" i="11"/>
  <c r="J109" i="11"/>
  <c r="L109" i="11"/>
  <c r="N109" i="11"/>
  <c r="P109" i="11"/>
  <c r="R109" i="11"/>
  <c r="T109" i="11"/>
  <c r="V109" i="11"/>
  <c r="X109" i="11"/>
  <c r="Z109" i="11"/>
  <c r="AB109" i="11"/>
  <c r="AD109" i="11"/>
  <c r="AF109" i="11"/>
  <c r="AI109" i="11"/>
  <c r="C109" i="11" l="1"/>
  <c r="D110" i="11"/>
  <c r="F110" i="11"/>
  <c r="H110" i="11"/>
  <c r="J110" i="11"/>
  <c r="L110" i="11"/>
  <c r="N110" i="11"/>
  <c r="P110" i="11"/>
  <c r="R110" i="11"/>
  <c r="T110" i="11"/>
  <c r="V110" i="11"/>
  <c r="X110" i="11"/>
  <c r="Z110" i="11"/>
  <c r="AB110" i="11"/>
  <c r="AD110" i="11"/>
  <c r="AF110" i="11"/>
  <c r="AI110" i="11"/>
  <c r="E110" i="11"/>
  <c r="G110" i="11"/>
  <c r="I110" i="11"/>
  <c r="K110" i="11"/>
  <c r="M110" i="11"/>
  <c r="O110" i="11"/>
  <c r="Q110" i="11"/>
  <c r="S110" i="11"/>
  <c r="U110" i="11"/>
  <c r="W110" i="11"/>
  <c r="Y110" i="11"/>
  <c r="AA110" i="11"/>
  <c r="AC110" i="11"/>
  <c r="AE110" i="11"/>
  <c r="AG110" i="11"/>
  <c r="C110" i="11" l="1"/>
  <c r="E111" i="11"/>
  <c r="G111" i="11"/>
  <c r="I111" i="11"/>
  <c r="K111" i="11"/>
  <c r="M111" i="11"/>
  <c r="O111" i="11"/>
  <c r="Q111" i="11"/>
  <c r="S111" i="11"/>
  <c r="U111" i="11"/>
  <c r="W111" i="11"/>
  <c r="Y111" i="11"/>
  <c r="AA111" i="11"/>
  <c r="AC111" i="11"/>
  <c r="AE111" i="11"/>
  <c r="AG111" i="11"/>
  <c r="D111" i="11"/>
  <c r="F111" i="11"/>
  <c r="H111" i="11"/>
  <c r="J111" i="11"/>
  <c r="L111" i="11"/>
  <c r="N111" i="11"/>
  <c r="P111" i="11"/>
  <c r="R111" i="11"/>
  <c r="T111" i="11"/>
  <c r="V111" i="11"/>
  <c r="X111" i="11"/>
  <c r="Z111" i="11"/>
  <c r="AB111" i="11"/>
  <c r="AD111" i="11"/>
  <c r="AF111" i="11"/>
  <c r="AI111" i="11"/>
  <c r="C111" i="11" l="1"/>
  <c r="D112" i="11"/>
  <c r="F112" i="11"/>
  <c r="H112" i="11"/>
  <c r="J112" i="11"/>
  <c r="L112" i="11"/>
  <c r="N112" i="11"/>
  <c r="P112" i="11"/>
  <c r="R112" i="11"/>
  <c r="T112" i="11"/>
  <c r="V112" i="11"/>
  <c r="X112" i="11"/>
  <c r="Z112" i="11"/>
  <c r="AB112" i="11"/>
  <c r="AD112" i="11"/>
  <c r="AF112" i="11"/>
  <c r="AI112" i="11"/>
  <c r="E112" i="11"/>
  <c r="G112" i="11"/>
  <c r="I112" i="11"/>
  <c r="K112" i="11"/>
  <c r="M112" i="11"/>
  <c r="O112" i="11"/>
  <c r="Q112" i="11"/>
  <c r="S112" i="11"/>
  <c r="U112" i="11"/>
  <c r="W112" i="11"/>
  <c r="Y112" i="11"/>
  <c r="AA112" i="11"/>
  <c r="AC112" i="11"/>
  <c r="AE112" i="11"/>
  <c r="AG112" i="11"/>
  <c r="C112" i="11" l="1"/>
  <c r="E113" i="11"/>
  <c r="G113" i="11"/>
  <c r="I113" i="11"/>
  <c r="K113" i="11"/>
  <c r="M113" i="11"/>
  <c r="O113" i="11"/>
  <c r="Q113" i="11"/>
  <c r="S113" i="11"/>
  <c r="U113" i="11"/>
  <c r="W113" i="11"/>
  <c r="Y113" i="11"/>
  <c r="AA113" i="11"/>
  <c r="AC113" i="11"/>
  <c r="AE113" i="11"/>
  <c r="AG113" i="11"/>
  <c r="D113" i="11"/>
  <c r="F113" i="11"/>
  <c r="H113" i="11"/>
  <c r="J113" i="11"/>
  <c r="L113" i="11"/>
  <c r="N113" i="11"/>
  <c r="P113" i="11"/>
  <c r="R113" i="11"/>
  <c r="T113" i="11"/>
  <c r="V113" i="11"/>
  <c r="X113" i="11"/>
  <c r="Z113" i="11"/>
  <c r="AB113" i="11"/>
  <c r="AD113" i="11"/>
  <c r="AF113" i="11"/>
  <c r="AI113" i="11"/>
  <c r="C113" i="11" l="1"/>
  <c r="D114" i="11"/>
  <c r="F114" i="11"/>
  <c r="H114" i="11"/>
  <c r="J114" i="11"/>
  <c r="L114" i="11"/>
  <c r="N114" i="11"/>
  <c r="P114" i="11"/>
  <c r="R114" i="11"/>
  <c r="T114" i="11"/>
  <c r="V114" i="11"/>
  <c r="X114" i="11"/>
  <c r="Z114" i="11"/>
  <c r="AB114" i="11"/>
  <c r="AD114" i="11"/>
  <c r="AF114" i="11"/>
  <c r="AI114" i="11"/>
  <c r="E114" i="11"/>
  <c r="G114" i="11"/>
  <c r="I114" i="11"/>
  <c r="K114" i="11"/>
  <c r="M114" i="11"/>
  <c r="O114" i="11"/>
  <c r="Q114" i="11"/>
  <c r="S114" i="11"/>
  <c r="U114" i="11"/>
  <c r="W114" i="11"/>
  <c r="Y114" i="11"/>
  <c r="AA114" i="11"/>
  <c r="AC114" i="11"/>
  <c r="AE114" i="11"/>
  <c r="AG114" i="11"/>
  <c r="C114" i="11" l="1"/>
  <c r="E115" i="11"/>
  <c r="G115" i="11"/>
  <c r="I115" i="11"/>
  <c r="K115" i="11"/>
  <c r="M115" i="11"/>
  <c r="O115" i="11"/>
  <c r="Q115" i="11"/>
  <c r="S115" i="11"/>
  <c r="U115" i="11"/>
  <c r="W115" i="11"/>
  <c r="Y115" i="11"/>
  <c r="AA115" i="11"/>
  <c r="AC115" i="11"/>
  <c r="AE115" i="11"/>
  <c r="AG115" i="11"/>
  <c r="D115" i="11"/>
  <c r="F115" i="11"/>
  <c r="H115" i="11"/>
  <c r="J115" i="11"/>
  <c r="L115" i="11"/>
  <c r="N115" i="11"/>
  <c r="P115" i="11"/>
  <c r="R115" i="11"/>
  <c r="T115" i="11"/>
  <c r="V115" i="11"/>
  <c r="X115" i="11"/>
  <c r="Z115" i="11"/>
  <c r="AB115" i="11"/>
  <c r="AD115" i="11"/>
  <c r="AF115" i="11"/>
  <c r="AI115" i="11"/>
  <c r="C115" i="11" l="1"/>
  <c r="D116" i="11"/>
  <c r="F116" i="11"/>
  <c r="H116" i="11"/>
  <c r="J116" i="11"/>
  <c r="L116" i="11"/>
  <c r="N116" i="11"/>
  <c r="P116" i="11"/>
  <c r="R116" i="11"/>
  <c r="T116" i="11"/>
  <c r="V116" i="11"/>
  <c r="X116" i="11"/>
  <c r="Z116" i="11"/>
  <c r="AB116" i="11"/>
  <c r="AD116" i="11"/>
  <c r="AF116" i="11"/>
  <c r="AI116" i="11"/>
  <c r="E116" i="11"/>
  <c r="G116" i="11"/>
  <c r="I116" i="11"/>
  <c r="K116" i="11"/>
  <c r="M116" i="11"/>
  <c r="O116" i="11"/>
  <c r="Q116" i="11"/>
  <c r="S116" i="11"/>
  <c r="U116" i="11"/>
  <c r="W116" i="11"/>
  <c r="Y116" i="11"/>
  <c r="AA116" i="11"/>
  <c r="AC116" i="11"/>
  <c r="AE116" i="11"/>
  <c r="AG116" i="11"/>
  <c r="C116" i="11" l="1"/>
  <c r="E117" i="11"/>
  <c r="G117" i="11"/>
  <c r="I117" i="11"/>
  <c r="K117" i="11"/>
  <c r="M117" i="11"/>
  <c r="O117" i="11"/>
  <c r="Q117" i="11"/>
  <c r="S117" i="11"/>
  <c r="U117" i="11"/>
  <c r="W117" i="11"/>
  <c r="Y117" i="11"/>
  <c r="AA117" i="11"/>
  <c r="AC117" i="11"/>
  <c r="AE117" i="11"/>
  <c r="AG117" i="11"/>
  <c r="D117" i="11"/>
  <c r="F117" i="11"/>
  <c r="H117" i="11"/>
  <c r="J117" i="11"/>
  <c r="L117" i="11"/>
  <c r="N117" i="11"/>
  <c r="P117" i="11"/>
  <c r="R117" i="11"/>
  <c r="T117" i="11"/>
  <c r="V117" i="11"/>
  <c r="X117" i="11"/>
  <c r="Z117" i="11"/>
  <c r="AB117" i="11"/>
  <c r="AD117" i="11"/>
  <c r="AF117" i="11"/>
  <c r="AI117" i="11"/>
  <c r="C117" i="11" l="1"/>
  <c r="D118" i="11"/>
  <c r="F118" i="11"/>
  <c r="H118" i="11"/>
  <c r="J118" i="11"/>
  <c r="L118" i="11"/>
  <c r="N118" i="11"/>
  <c r="P118" i="11"/>
  <c r="R118" i="11"/>
  <c r="T118" i="11"/>
  <c r="V118" i="11"/>
  <c r="X118" i="11"/>
  <c r="Z118" i="11"/>
  <c r="AB118" i="11"/>
  <c r="AD118" i="11"/>
  <c r="AF118" i="11"/>
  <c r="AI118" i="11"/>
  <c r="E118" i="11"/>
  <c r="G118" i="11"/>
  <c r="I118" i="11"/>
  <c r="K118" i="11"/>
  <c r="M118" i="11"/>
  <c r="O118" i="11"/>
  <c r="Q118" i="11"/>
  <c r="S118" i="11"/>
  <c r="U118" i="11"/>
  <c r="W118" i="11"/>
  <c r="Y118" i="11"/>
  <c r="AA118" i="11"/>
  <c r="AC118" i="11"/>
  <c r="AE118" i="11"/>
  <c r="AG118" i="11"/>
  <c r="C118" i="11" l="1"/>
  <c r="E119" i="11"/>
  <c r="G119" i="11"/>
  <c r="I119" i="11"/>
  <c r="K119" i="11"/>
  <c r="M119" i="11"/>
  <c r="O119" i="11"/>
  <c r="Q119" i="11"/>
  <c r="S119" i="11"/>
  <c r="U119" i="11"/>
  <c r="W119" i="11"/>
  <c r="Y119" i="11"/>
  <c r="AA119" i="11"/>
  <c r="AC119" i="11"/>
  <c r="AE119" i="11"/>
  <c r="AG119" i="11"/>
  <c r="D119" i="11"/>
  <c r="F119" i="11"/>
  <c r="H119" i="11"/>
  <c r="J119" i="11"/>
  <c r="L119" i="11"/>
  <c r="N119" i="11"/>
  <c r="P119" i="11"/>
  <c r="R119" i="11"/>
  <c r="T119" i="11"/>
  <c r="V119" i="11"/>
  <c r="X119" i="11"/>
  <c r="Z119" i="11"/>
  <c r="AB119" i="11"/>
  <c r="AD119" i="11"/>
  <c r="AF119" i="11"/>
  <c r="AI119" i="11"/>
  <c r="C119" i="11" l="1"/>
  <c r="D120" i="11"/>
  <c r="F120" i="11"/>
  <c r="H120" i="11"/>
  <c r="J120" i="11"/>
  <c r="L120" i="11"/>
  <c r="N120" i="11"/>
  <c r="P120" i="11"/>
  <c r="R120" i="11"/>
  <c r="T120" i="11"/>
  <c r="V120" i="11"/>
  <c r="X120" i="11"/>
  <c r="Z120" i="11"/>
  <c r="AB120" i="11"/>
  <c r="AD120" i="11"/>
  <c r="AF120" i="11"/>
  <c r="AI120" i="11"/>
  <c r="E120" i="11"/>
  <c r="G120" i="11"/>
  <c r="I120" i="11"/>
  <c r="K120" i="11"/>
  <c r="M120" i="11"/>
  <c r="O120" i="11"/>
  <c r="Q120" i="11"/>
  <c r="S120" i="11"/>
  <c r="U120" i="11"/>
  <c r="W120" i="11"/>
  <c r="Y120" i="11"/>
  <c r="AA120" i="11"/>
  <c r="AC120" i="11"/>
  <c r="AE120" i="11"/>
  <c r="AG120" i="11"/>
  <c r="C120" i="11" l="1"/>
  <c r="E121" i="11"/>
  <c r="G121" i="11"/>
  <c r="I121" i="11"/>
  <c r="K121" i="11"/>
  <c r="M121" i="11"/>
  <c r="O121" i="11"/>
  <c r="Q121" i="11"/>
  <c r="S121" i="11"/>
  <c r="U121" i="11"/>
  <c r="W121" i="11"/>
  <c r="Y121" i="11"/>
  <c r="AA121" i="11"/>
  <c r="AC121" i="11"/>
  <c r="AE121" i="11"/>
  <c r="AG121" i="11"/>
  <c r="D121" i="11"/>
  <c r="F121" i="11"/>
  <c r="H121" i="11"/>
  <c r="J121" i="11"/>
  <c r="L121" i="11"/>
  <c r="N121" i="11"/>
  <c r="P121" i="11"/>
  <c r="R121" i="11"/>
  <c r="T121" i="11"/>
  <c r="V121" i="11"/>
  <c r="X121" i="11"/>
  <c r="Z121" i="11"/>
  <c r="AB121" i="11"/>
  <c r="AD121" i="11"/>
  <c r="AF121" i="11"/>
  <c r="AI121" i="11"/>
  <c r="C121" i="11" l="1"/>
  <c r="D122" i="11"/>
  <c r="F122" i="11"/>
  <c r="H122" i="11"/>
  <c r="J122" i="11"/>
  <c r="L122" i="11"/>
  <c r="N122" i="11"/>
  <c r="P122" i="11"/>
  <c r="R122" i="11"/>
  <c r="T122" i="11"/>
  <c r="V122" i="11"/>
  <c r="X122" i="11"/>
  <c r="Z122" i="11"/>
  <c r="AB122" i="11"/>
  <c r="AD122" i="11"/>
  <c r="AF122" i="11"/>
  <c r="AI122" i="11"/>
  <c r="E122" i="11"/>
  <c r="G122" i="11"/>
  <c r="I122" i="11"/>
  <c r="K122" i="11"/>
  <c r="M122" i="11"/>
  <c r="O122" i="11"/>
  <c r="Q122" i="11"/>
  <c r="S122" i="11"/>
  <c r="U122" i="11"/>
  <c r="W122" i="11"/>
  <c r="Y122" i="11"/>
  <c r="AA122" i="11"/>
  <c r="AC122" i="11"/>
  <c r="AE122" i="11"/>
  <c r="AG122" i="11"/>
  <c r="C122" i="11" l="1"/>
  <c r="E123" i="11"/>
  <c r="G123" i="11"/>
  <c r="I123" i="11"/>
  <c r="K123" i="11"/>
  <c r="M123" i="11"/>
  <c r="O123" i="11"/>
  <c r="Q123" i="11"/>
  <c r="S123" i="11"/>
  <c r="U123" i="11"/>
  <c r="W123" i="11"/>
  <c r="Y123" i="11"/>
  <c r="AA123" i="11"/>
  <c r="AC123" i="11"/>
  <c r="AE123" i="11"/>
  <c r="AG123" i="11"/>
  <c r="D123" i="11"/>
  <c r="F123" i="11"/>
  <c r="H123" i="11"/>
  <c r="J123" i="11"/>
  <c r="L123" i="11"/>
  <c r="N123" i="11"/>
  <c r="P123" i="11"/>
  <c r="R123" i="11"/>
  <c r="T123" i="11"/>
  <c r="V123" i="11"/>
  <c r="X123" i="11"/>
  <c r="Z123" i="11"/>
  <c r="AB123" i="11"/>
  <c r="AD123" i="11"/>
  <c r="AF123" i="11"/>
  <c r="AI123" i="11"/>
  <c r="C123" i="11" l="1"/>
  <c r="D124" i="11"/>
  <c r="F124" i="11"/>
  <c r="H124" i="11"/>
  <c r="J124" i="11"/>
  <c r="L124" i="11"/>
  <c r="N124" i="11"/>
  <c r="P124" i="11"/>
  <c r="R124" i="11"/>
  <c r="T124" i="11"/>
  <c r="V124" i="11"/>
  <c r="X124" i="11"/>
  <c r="Z124" i="11"/>
  <c r="AB124" i="11"/>
  <c r="AD124" i="11"/>
  <c r="AF124" i="11"/>
  <c r="AI124" i="11"/>
  <c r="E124" i="11"/>
  <c r="G124" i="11"/>
  <c r="I124" i="11"/>
  <c r="K124" i="11"/>
  <c r="M124" i="11"/>
  <c r="O124" i="11"/>
  <c r="Q124" i="11"/>
  <c r="S124" i="11"/>
  <c r="U124" i="11"/>
  <c r="W124" i="11"/>
  <c r="Y124" i="11"/>
  <c r="AA124" i="11"/>
  <c r="AC124" i="11"/>
  <c r="AE124" i="11"/>
  <c r="AG124" i="11"/>
  <c r="C124" i="11" l="1"/>
  <c r="E125" i="11"/>
  <c r="G125" i="11"/>
  <c r="I125" i="11"/>
  <c r="K125" i="11"/>
  <c r="M125" i="11"/>
  <c r="O125" i="11"/>
  <c r="Q125" i="11"/>
  <c r="S125" i="11"/>
  <c r="U125" i="11"/>
  <c r="W125" i="11"/>
  <c r="Y125" i="11"/>
  <c r="AA125" i="11"/>
  <c r="AC125" i="11"/>
  <c r="AE125" i="11"/>
  <c r="AG125" i="11"/>
  <c r="D125" i="11"/>
  <c r="F125" i="11"/>
  <c r="H125" i="11"/>
  <c r="J125" i="11"/>
  <c r="L125" i="11"/>
  <c r="N125" i="11"/>
  <c r="P125" i="11"/>
  <c r="R125" i="11"/>
  <c r="T125" i="11"/>
  <c r="V125" i="11"/>
  <c r="X125" i="11"/>
  <c r="Z125" i="11"/>
  <c r="AB125" i="11"/>
  <c r="AD125" i="11"/>
  <c r="AF125" i="11"/>
  <c r="AI125" i="11"/>
  <c r="C125" i="11" l="1"/>
  <c r="D126" i="11"/>
  <c r="F126" i="11"/>
  <c r="H126" i="11"/>
  <c r="J126" i="11"/>
  <c r="L126" i="11"/>
  <c r="N126" i="11"/>
  <c r="P126" i="11"/>
  <c r="R126" i="11"/>
  <c r="T126" i="11"/>
  <c r="V126" i="11"/>
  <c r="X126" i="11"/>
  <c r="Z126" i="11"/>
  <c r="AB126" i="11"/>
  <c r="AD126" i="11"/>
  <c r="AF126" i="11"/>
  <c r="AI126" i="11"/>
  <c r="E126" i="11"/>
  <c r="G126" i="11"/>
  <c r="I126" i="11"/>
  <c r="K126" i="11"/>
  <c r="M126" i="11"/>
  <c r="O126" i="11"/>
  <c r="Q126" i="11"/>
  <c r="S126" i="11"/>
  <c r="U126" i="11"/>
  <c r="W126" i="11"/>
  <c r="Y126" i="11"/>
  <c r="AA126" i="11"/>
  <c r="AC126" i="11"/>
  <c r="AE126" i="11"/>
  <c r="AG126" i="11"/>
  <c r="C126" i="11" l="1"/>
  <c r="E127" i="11"/>
  <c r="G127" i="11"/>
  <c r="I127" i="11"/>
  <c r="K127" i="11"/>
  <c r="M127" i="11"/>
  <c r="O127" i="11"/>
  <c r="Q127" i="11"/>
  <c r="S127" i="11"/>
  <c r="U127" i="11"/>
  <c r="W127" i="11"/>
  <c r="Y127" i="11"/>
  <c r="AA127" i="11"/>
  <c r="AC127" i="11"/>
  <c r="AE127" i="11"/>
  <c r="AG127" i="11"/>
  <c r="D127" i="11"/>
  <c r="F127" i="11"/>
  <c r="H127" i="11"/>
  <c r="J127" i="11"/>
  <c r="L127" i="11"/>
  <c r="N127" i="11"/>
  <c r="P127" i="11"/>
  <c r="R127" i="11"/>
  <c r="T127" i="11"/>
  <c r="V127" i="11"/>
  <c r="X127" i="11"/>
  <c r="Z127" i="11"/>
  <c r="AB127" i="11"/>
  <c r="AD127" i="11"/>
  <c r="AF127" i="11"/>
  <c r="AI127" i="11"/>
  <c r="C127" i="11" l="1"/>
  <c r="D128" i="11"/>
  <c r="F128" i="11"/>
  <c r="H128" i="11"/>
  <c r="J128" i="11"/>
  <c r="L128" i="11"/>
  <c r="N128" i="11"/>
  <c r="P128" i="11"/>
  <c r="R128" i="11"/>
  <c r="T128" i="11"/>
  <c r="V128" i="11"/>
  <c r="X128" i="11"/>
  <c r="Z128" i="11"/>
  <c r="AB128" i="11"/>
  <c r="AD128" i="11"/>
  <c r="AF128" i="11"/>
  <c r="AI128" i="11"/>
  <c r="E128" i="11"/>
  <c r="G128" i="11"/>
  <c r="I128" i="11"/>
  <c r="K128" i="11"/>
  <c r="M128" i="11"/>
  <c r="O128" i="11"/>
  <c r="Q128" i="11"/>
  <c r="S128" i="11"/>
  <c r="U128" i="11"/>
  <c r="W128" i="11"/>
  <c r="Y128" i="11"/>
  <c r="AA128" i="11"/>
  <c r="AC128" i="11"/>
  <c r="AE128" i="11"/>
  <c r="AG128" i="11"/>
  <c r="C128" i="11" l="1"/>
  <c r="E129" i="11"/>
  <c r="G129" i="11"/>
  <c r="I129" i="11"/>
  <c r="K129" i="11"/>
  <c r="M129" i="11"/>
  <c r="O129" i="11"/>
  <c r="Q129" i="11"/>
  <c r="S129" i="11"/>
  <c r="U129" i="11"/>
  <c r="W129" i="11"/>
  <c r="Y129" i="11"/>
  <c r="AA129" i="11"/>
  <c r="AC129" i="11"/>
  <c r="AE129" i="11"/>
  <c r="AG129" i="11"/>
  <c r="D129" i="11"/>
  <c r="F129" i="11"/>
  <c r="H129" i="11"/>
  <c r="J129" i="11"/>
  <c r="L129" i="11"/>
  <c r="N129" i="11"/>
  <c r="P129" i="11"/>
  <c r="R129" i="11"/>
  <c r="T129" i="11"/>
  <c r="V129" i="11"/>
  <c r="X129" i="11"/>
  <c r="Z129" i="11"/>
  <c r="AB129" i="11"/>
  <c r="AD129" i="11"/>
  <c r="AF129" i="11"/>
  <c r="AI129" i="11"/>
  <c r="C129" i="11" l="1"/>
  <c r="D130" i="11"/>
  <c r="F130" i="11"/>
  <c r="H130" i="11"/>
  <c r="J130" i="11"/>
  <c r="L130" i="11"/>
  <c r="N130" i="11"/>
  <c r="P130" i="11"/>
  <c r="R130" i="11"/>
  <c r="T130" i="11"/>
  <c r="V130" i="11"/>
  <c r="X130" i="11"/>
  <c r="Z130" i="11"/>
  <c r="AB130" i="11"/>
  <c r="AD130" i="11"/>
  <c r="AF130" i="11"/>
  <c r="AI130" i="11"/>
  <c r="E130" i="11"/>
  <c r="G130" i="11"/>
  <c r="I130" i="11"/>
  <c r="K130" i="11"/>
  <c r="M130" i="11"/>
  <c r="O130" i="11"/>
  <c r="Q130" i="11"/>
  <c r="S130" i="11"/>
  <c r="U130" i="11"/>
  <c r="W130" i="11"/>
  <c r="Y130" i="11"/>
  <c r="AA130" i="11"/>
  <c r="AC130" i="11"/>
  <c r="AE130" i="11"/>
  <c r="AG130" i="11"/>
  <c r="C130" i="11" l="1"/>
  <c r="E131" i="11"/>
  <c r="G131" i="11"/>
  <c r="I131" i="11"/>
  <c r="K131" i="11"/>
  <c r="M131" i="11"/>
  <c r="O131" i="11"/>
  <c r="Q131" i="11"/>
  <c r="S131" i="11"/>
  <c r="U131" i="11"/>
  <c r="W131" i="11"/>
  <c r="Y131" i="11"/>
  <c r="AA131" i="11"/>
  <c r="AC131" i="11"/>
  <c r="AE131" i="11"/>
  <c r="AG131" i="11"/>
  <c r="D131" i="11"/>
  <c r="F131" i="11"/>
  <c r="H131" i="11"/>
  <c r="J131" i="11"/>
  <c r="L131" i="11"/>
  <c r="N131" i="11"/>
  <c r="P131" i="11"/>
  <c r="R131" i="11"/>
  <c r="T131" i="11"/>
  <c r="V131" i="11"/>
  <c r="X131" i="11"/>
  <c r="Z131" i="11"/>
  <c r="AB131" i="11"/>
  <c r="AD131" i="11"/>
  <c r="AF131" i="11"/>
  <c r="AI131" i="11"/>
  <c r="C131" i="11" l="1"/>
  <c r="D132" i="11"/>
  <c r="F132" i="11"/>
  <c r="H132" i="11"/>
  <c r="J132" i="11"/>
  <c r="L132" i="11"/>
  <c r="N132" i="11"/>
  <c r="P132" i="11"/>
  <c r="R132" i="11"/>
  <c r="T132" i="11"/>
  <c r="V132" i="11"/>
  <c r="X132" i="11"/>
  <c r="Z132" i="11"/>
  <c r="AB132" i="11"/>
  <c r="AD132" i="11"/>
  <c r="AF132" i="11"/>
  <c r="AI132" i="11"/>
  <c r="E132" i="11"/>
  <c r="G132" i="11"/>
  <c r="I132" i="11"/>
  <c r="K132" i="11"/>
  <c r="M132" i="11"/>
  <c r="O132" i="11"/>
  <c r="Q132" i="11"/>
  <c r="S132" i="11"/>
  <c r="U132" i="11"/>
  <c r="W132" i="11"/>
  <c r="Y132" i="11"/>
  <c r="AA132" i="11"/>
  <c r="AC132" i="11"/>
  <c r="AE132" i="11"/>
  <c r="AG132" i="11"/>
  <c r="C132" i="11" l="1"/>
  <c r="E133" i="11"/>
  <c r="G133" i="11"/>
  <c r="I133" i="11"/>
  <c r="K133" i="11"/>
  <c r="M133" i="11"/>
  <c r="O133" i="11"/>
  <c r="Q133" i="11"/>
  <c r="S133" i="11"/>
  <c r="U133" i="11"/>
  <c r="W133" i="11"/>
  <c r="Y133" i="11"/>
  <c r="AA133" i="11"/>
  <c r="AC133" i="11"/>
  <c r="AE133" i="11"/>
  <c r="AG133" i="11"/>
  <c r="D133" i="11"/>
  <c r="F133" i="11"/>
  <c r="H133" i="11"/>
  <c r="J133" i="11"/>
  <c r="L133" i="11"/>
  <c r="N133" i="11"/>
  <c r="P133" i="11"/>
  <c r="R133" i="11"/>
  <c r="T133" i="11"/>
  <c r="V133" i="11"/>
  <c r="X133" i="11"/>
  <c r="Z133" i="11"/>
  <c r="AB133" i="11"/>
  <c r="AD133" i="11"/>
  <c r="AF133" i="11"/>
  <c r="AI133" i="11"/>
  <c r="C133" i="11" l="1"/>
  <c r="D134" i="11"/>
  <c r="F134" i="11"/>
  <c r="H134" i="11"/>
  <c r="J134" i="11"/>
  <c r="L134" i="11"/>
  <c r="N134" i="11"/>
  <c r="P134" i="11"/>
  <c r="R134" i="11"/>
  <c r="T134" i="11"/>
  <c r="V134" i="11"/>
  <c r="X134" i="11"/>
  <c r="Z134" i="11"/>
  <c r="AB134" i="11"/>
  <c r="AD134" i="11"/>
  <c r="AF134" i="11"/>
  <c r="AI134" i="11"/>
  <c r="E134" i="11"/>
  <c r="G134" i="11"/>
  <c r="I134" i="11"/>
  <c r="K134" i="11"/>
  <c r="M134" i="11"/>
  <c r="O134" i="11"/>
  <c r="Q134" i="11"/>
  <c r="S134" i="11"/>
  <c r="U134" i="11"/>
  <c r="W134" i="11"/>
  <c r="Y134" i="11"/>
  <c r="AA134" i="11"/>
  <c r="AC134" i="11"/>
  <c r="AE134" i="11"/>
  <c r="AG134" i="11"/>
  <c r="C134" i="11" l="1"/>
  <c r="E135" i="11"/>
  <c r="G135" i="11"/>
  <c r="I135" i="11"/>
  <c r="K135" i="11"/>
  <c r="M135" i="11"/>
  <c r="O135" i="11"/>
  <c r="Q135" i="11"/>
  <c r="S135" i="11"/>
  <c r="U135" i="11"/>
  <c r="W135" i="11"/>
  <c r="Y135" i="11"/>
  <c r="AA135" i="11"/>
  <c r="AC135" i="11"/>
  <c r="AE135" i="11"/>
  <c r="AG135" i="11"/>
  <c r="D135" i="11"/>
  <c r="F135" i="11"/>
  <c r="H135" i="11"/>
  <c r="J135" i="11"/>
  <c r="L135" i="11"/>
  <c r="N135" i="11"/>
  <c r="P135" i="11"/>
  <c r="R135" i="11"/>
  <c r="T135" i="11"/>
  <c r="V135" i="11"/>
  <c r="X135" i="11"/>
  <c r="Z135" i="11"/>
  <c r="AB135" i="11"/>
  <c r="AD135" i="11"/>
  <c r="AF135" i="11"/>
  <c r="AI135" i="11"/>
  <c r="C135" i="11" l="1"/>
  <c r="D136" i="11"/>
  <c r="F136" i="11"/>
  <c r="H136" i="11"/>
  <c r="J136" i="11"/>
  <c r="L136" i="11"/>
  <c r="N136" i="11"/>
  <c r="P136" i="11"/>
  <c r="R136" i="11"/>
  <c r="T136" i="11"/>
  <c r="V136" i="11"/>
  <c r="X136" i="11"/>
  <c r="Z136" i="11"/>
  <c r="AB136" i="11"/>
  <c r="AD136" i="11"/>
  <c r="AF136" i="11"/>
  <c r="AI136" i="11"/>
  <c r="E136" i="11"/>
  <c r="G136" i="11"/>
  <c r="I136" i="11"/>
  <c r="K136" i="11"/>
  <c r="M136" i="11"/>
  <c r="O136" i="11"/>
  <c r="Q136" i="11"/>
  <c r="S136" i="11"/>
  <c r="U136" i="11"/>
  <c r="W136" i="11"/>
  <c r="Y136" i="11"/>
  <c r="AA136" i="11"/>
  <c r="AC136" i="11"/>
  <c r="AE136" i="11"/>
  <c r="AG136" i="11"/>
  <c r="C136" i="11" l="1"/>
  <c r="E137" i="11"/>
  <c r="G137" i="11"/>
  <c r="I137" i="11"/>
  <c r="K137" i="11"/>
  <c r="M137" i="11"/>
  <c r="O137" i="11"/>
  <c r="Q137" i="11"/>
  <c r="S137" i="11"/>
  <c r="U137" i="11"/>
  <c r="W137" i="11"/>
  <c r="Y137" i="11"/>
  <c r="AA137" i="11"/>
  <c r="AC137" i="11"/>
  <c r="AE137" i="11"/>
  <c r="AG137" i="11"/>
  <c r="D137" i="11"/>
  <c r="F137" i="11"/>
  <c r="H137" i="11"/>
  <c r="J137" i="11"/>
  <c r="L137" i="11"/>
  <c r="N137" i="11"/>
  <c r="P137" i="11"/>
  <c r="R137" i="11"/>
  <c r="T137" i="11"/>
  <c r="V137" i="11"/>
  <c r="X137" i="11"/>
  <c r="Z137" i="11"/>
  <c r="AB137" i="11"/>
  <c r="AD137" i="11"/>
  <c r="AF137" i="11"/>
  <c r="AI137" i="11"/>
  <c r="C137" i="11" l="1"/>
  <c r="D138" i="11"/>
  <c r="F138" i="11"/>
  <c r="H138" i="11"/>
  <c r="J138" i="11"/>
  <c r="L138" i="11"/>
  <c r="N138" i="11"/>
  <c r="P138" i="11"/>
  <c r="R138" i="11"/>
  <c r="T138" i="11"/>
  <c r="V138" i="11"/>
  <c r="X138" i="11"/>
  <c r="Z138" i="11"/>
  <c r="AB138" i="11"/>
  <c r="AD138" i="11"/>
  <c r="AF138" i="11"/>
  <c r="AI138" i="11"/>
  <c r="E138" i="11"/>
  <c r="G138" i="11"/>
  <c r="I138" i="11"/>
  <c r="K138" i="11"/>
  <c r="M138" i="11"/>
  <c r="O138" i="11"/>
  <c r="Q138" i="11"/>
  <c r="S138" i="11"/>
  <c r="U138" i="11"/>
  <c r="W138" i="11"/>
  <c r="Y138" i="11"/>
  <c r="AA138" i="11"/>
  <c r="AC138" i="11"/>
  <c r="AE138" i="11"/>
  <c r="AG138" i="11"/>
  <c r="C138" i="11" l="1"/>
  <c r="E139" i="11"/>
  <c r="G139" i="11"/>
  <c r="I139" i="11"/>
  <c r="K139" i="11"/>
  <c r="M139" i="11"/>
  <c r="O139" i="11"/>
  <c r="Q139" i="11"/>
  <c r="S139" i="11"/>
  <c r="U139" i="11"/>
  <c r="W139" i="11"/>
  <c r="Y139" i="11"/>
  <c r="AA139" i="11"/>
  <c r="AC139" i="11"/>
  <c r="AE139" i="11"/>
  <c r="AG139" i="11"/>
  <c r="D139" i="11"/>
  <c r="F139" i="11"/>
  <c r="H139" i="11"/>
  <c r="J139" i="11"/>
  <c r="L139" i="11"/>
  <c r="N139" i="11"/>
  <c r="P139" i="11"/>
  <c r="R139" i="11"/>
  <c r="T139" i="11"/>
  <c r="V139" i="11"/>
  <c r="X139" i="11"/>
  <c r="Z139" i="11"/>
  <c r="AB139" i="11"/>
  <c r="AD139" i="11"/>
  <c r="AF139" i="11"/>
  <c r="AI139" i="11"/>
  <c r="C139" i="11" l="1"/>
  <c r="D140" i="11"/>
  <c r="F140" i="11"/>
  <c r="H140" i="11"/>
  <c r="J140" i="11"/>
  <c r="L140" i="11"/>
  <c r="N140" i="11"/>
  <c r="P140" i="11"/>
  <c r="R140" i="11"/>
  <c r="T140" i="11"/>
  <c r="V140" i="11"/>
  <c r="X140" i="11"/>
  <c r="Z140" i="11"/>
  <c r="AB140" i="11"/>
  <c r="AD140" i="11"/>
  <c r="AF140" i="11"/>
  <c r="AI140" i="11"/>
  <c r="E140" i="11"/>
  <c r="G140" i="11"/>
  <c r="I140" i="11"/>
  <c r="K140" i="11"/>
  <c r="M140" i="11"/>
  <c r="O140" i="11"/>
  <c r="Q140" i="11"/>
  <c r="S140" i="11"/>
  <c r="U140" i="11"/>
  <c r="W140" i="11"/>
  <c r="Y140" i="11"/>
  <c r="AA140" i="11"/>
  <c r="AC140" i="11"/>
  <c r="AE140" i="11"/>
  <c r="AG140" i="11"/>
  <c r="C140" i="11" l="1"/>
  <c r="E141" i="11"/>
  <c r="G141" i="11"/>
  <c r="I141" i="11"/>
  <c r="K141" i="11"/>
  <c r="M141" i="11"/>
  <c r="O141" i="11"/>
  <c r="Q141" i="11"/>
  <c r="S141" i="11"/>
  <c r="U141" i="11"/>
  <c r="W141" i="11"/>
  <c r="Y141" i="11"/>
  <c r="AA141" i="11"/>
  <c r="AC141" i="11"/>
  <c r="AE141" i="11"/>
  <c r="AG141" i="11"/>
  <c r="D141" i="11"/>
  <c r="F141" i="11"/>
  <c r="H141" i="11"/>
  <c r="J141" i="11"/>
  <c r="L141" i="11"/>
  <c r="N141" i="11"/>
  <c r="P141" i="11"/>
  <c r="R141" i="11"/>
  <c r="T141" i="11"/>
  <c r="V141" i="11"/>
  <c r="X141" i="11"/>
  <c r="Z141" i="11"/>
  <c r="AB141" i="11"/>
  <c r="AD141" i="11"/>
  <c r="AF141" i="11"/>
  <c r="AI141" i="11"/>
  <c r="C141" i="11" l="1"/>
  <c r="D142" i="11"/>
  <c r="F142" i="11"/>
  <c r="H142" i="11"/>
  <c r="J142" i="11"/>
  <c r="L142" i="11"/>
  <c r="N142" i="11"/>
  <c r="P142" i="11"/>
  <c r="R142" i="11"/>
  <c r="T142" i="11"/>
  <c r="V142" i="11"/>
  <c r="X142" i="11"/>
  <c r="Z142" i="11"/>
  <c r="AB142" i="11"/>
  <c r="AD142" i="11"/>
  <c r="AF142" i="11"/>
  <c r="AI142" i="11"/>
  <c r="E142" i="11"/>
  <c r="G142" i="11"/>
  <c r="I142" i="11"/>
  <c r="K142" i="11"/>
  <c r="M142" i="11"/>
  <c r="O142" i="11"/>
  <c r="Q142" i="11"/>
  <c r="S142" i="11"/>
  <c r="U142" i="11"/>
  <c r="W142" i="11"/>
  <c r="Y142" i="11"/>
  <c r="AA142" i="11"/>
  <c r="AC142" i="11"/>
  <c r="AE142" i="11"/>
  <c r="AG142" i="11"/>
  <c r="C142" i="11" l="1"/>
  <c r="E143" i="11"/>
  <c r="G143" i="11"/>
  <c r="I143" i="11"/>
  <c r="K143" i="11"/>
  <c r="M143" i="11"/>
  <c r="O143" i="11"/>
  <c r="Q143" i="11"/>
  <c r="S143" i="11"/>
  <c r="U143" i="11"/>
  <c r="W143" i="11"/>
  <c r="Y143" i="11"/>
  <c r="AA143" i="11"/>
  <c r="AC143" i="11"/>
  <c r="AE143" i="11"/>
  <c r="AG143" i="11"/>
  <c r="D143" i="11"/>
  <c r="F143" i="11"/>
  <c r="H143" i="11"/>
  <c r="J143" i="11"/>
  <c r="L143" i="11"/>
  <c r="N143" i="11"/>
  <c r="P143" i="11"/>
  <c r="R143" i="11"/>
  <c r="T143" i="11"/>
  <c r="V143" i="11"/>
  <c r="X143" i="11"/>
  <c r="Z143" i="11"/>
  <c r="AB143" i="11"/>
  <c r="AD143" i="11"/>
  <c r="AF143" i="11"/>
  <c r="AI143" i="11"/>
  <c r="C143" i="11" l="1"/>
  <c r="D144" i="11"/>
  <c r="F144" i="11"/>
  <c r="H144" i="11"/>
  <c r="J144" i="11"/>
  <c r="L144" i="11"/>
  <c r="N144" i="11"/>
  <c r="P144" i="11"/>
  <c r="R144" i="11"/>
  <c r="T144" i="11"/>
  <c r="V144" i="11"/>
  <c r="X144" i="11"/>
  <c r="Z144" i="11"/>
  <c r="AB144" i="11"/>
  <c r="AD144" i="11"/>
  <c r="AF144" i="11"/>
  <c r="AI144" i="11"/>
  <c r="E144" i="11"/>
  <c r="G144" i="11"/>
  <c r="I144" i="11"/>
  <c r="K144" i="11"/>
  <c r="M144" i="11"/>
  <c r="O144" i="11"/>
  <c r="Q144" i="11"/>
  <c r="S144" i="11"/>
  <c r="U144" i="11"/>
  <c r="W144" i="11"/>
  <c r="Y144" i="11"/>
  <c r="AA144" i="11"/>
  <c r="AC144" i="11"/>
  <c r="AE144" i="11"/>
  <c r="AG144" i="11"/>
  <c r="C144" i="11" l="1"/>
  <c r="E145" i="11"/>
  <c r="G145" i="11"/>
  <c r="I145" i="11"/>
  <c r="K145" i="11"/>
  <c r="M145" i="11"/>
  <c r="O145" i="11"/>
  <c r="Q145" i="11"/>
  <c r="S145" i="11"/>
  <c r="U145" i="11"/>
  <c r="W145" i="11"/>
  <c r="Y145" i="11"/>
  <c r="AA145" i="11"/>
  <c r="AC145" i="11"/>
  <c r="AE145" i="11"/>
  <c r="AG145" i="11"/>
  <c r="D145" i="11"/>
  <c r="F145" i="11"/>
  <c r="H145" i="11"/>
  <c r="J145" i="11"/>
  <c r="L145" i="11"/>
  <c r="N145" i="11"/>
  <c r="P145" i="11"/>
  <c r="R145" i="11"/>
  <c r="T145" i="11"/>
  <c r="V145" i="11"/>
  <c r="X145" i="11"/>
  <c r="Z145" i="11"/>
  <c r="AB145" i="11"/>
  <c r="AD145" i="11"/>
  <c r="AF145" i="11"/>
  <c r="AI145" i="11"/>
  <c r="C145" i="11" l="1"/>
  <c r="D146" i="11"/>
  <c r="F146" i="11"/>
  <c r="H146" i="11"/>
  <c r="J146" i="11"/>
  <c r="L146" i="11"/>
  <c r="N146" i="11"/>
  <c r="P146" i="11"/>
  <c r="R146" i="11"/>
  <c r="T146" i="11"/>
  <c r="V146" i="11"/>
  <c r="X146" i="11"/>
  <c r="Z146" i="11"/>
  <c r="AB146" i="11"/>
  <c r="AD146" i="11"/>
  <c r="AF146" i="11"/>
  <c r="AI146" i="11"/>
  <c r="E146" i="11"/>
  <c r="G146" i="11"/>
  <c r="I146" i="11"/>
  <c r="K146" i="11"/>
  <c r="M146" i="11"/>
  <c r="O146" i="11"/>
  <c r="Q146" i="11"/>
  <c r="S146" i="11"/>
  <c r="U146" i="11"/>
  <c r="W146" i="11"/>
  <c r="Y146" i="11"/>
  <c r="AA146" i="11"/>
  <c r="AC146" i="11"/>
  <c r="AE146" i="11"/>
  <c r="AG146" i="11"/>
  <c r="C146" i="11" l="1"/>
  <c r="E147" i="11"/>
  <c r="G147" i="11"/>
  <c r="I147" i="11"/>
  <c r="K147" i="11"/>
  <c r="M147" i="11"/>
  <c r="O147" i="11"/>
  <c r="Q147" i="11"/>
  <c r="S147" i="11"/>
  <c r="U147" i="11"/>
  <c r="W147" i="11"/>
  <c r="Y147" i="11"/>
  <c r="AA147" i="11"/>
  <c r="AC147" i="11"/>
  <c r="AE147" i="11"/>
  <c r="AG147" i="11"/>
  <c r="D147" i="11"/>
  <c r="F147" i="11"/>
  <c r="H147" i="11"/>
  <c r="J147" i="11"/>
  <c r="L147" i="11"/>
  <c r="N147" i="11"/>
  <c r="P147" i="11"/>
  <c r="R147" i="11"/>
  <c r="T147" i="11"/>
  <c r="V147" i="11"/>
  <c r="X147" i="11"/>
  <c r="Z147" i="11"/>
  <c r="AB147" i="11"/>
  <c r="AD147" i="11"/>
  <c r="AF147" i="11"/>
  <c r="AI147" i="11"/>
  <c r="C147" i="11" l="1"/>
  <c r="D148" i="11"/>
  <c r="F148" i="11"/>
  <c r="H148" i="11"/>
  <c r="J148" i="11"/>
  <c r="L148" i="11"/>
  <c r="N148" i="11"/>
  <c r="P148" i="11"/>
  <c r="R148" i="11"/>
  <c r="T148" i="11"/>
  <c r="V148" i="11"/>
  <c r="X148" i="11"/>
  <c r="Z148" i="11"/>
  <c r="AB148" i="11"/>
  <c r="AD148" i="11"/>
  <c r="AF148" i="11"/>
  <c r="AI148" i="11"/>
  <c r="E148" i="11"/>
  <c r="G148" i="11"/>
  <c r="I148" i="11"/>
  <c r="K148" i="11"/>
  <c r="M148" i="11"/>
  <c r="O148" i="11"/>
  <c r="Q148" i="11"/>
  <c r="S148" i="11"/>
  <c r="U148" i="11"/>
  <c r="W148" i="11"/>
  <c r="Y148" i="11"/>
  <c r="AA148" i="11"/>
  <c r="AC148" i="11"/>
  <c r="AE148" i="11"/>
  <c r="AG148" i="11"/>
  <c r="C148" i="11" l="1"/>
  <c r="E149" i="11"/>
  <c r="G149" i="11"/>
  <c r="I149" i="11"/>
  <c r="K149" i="11"/>
  <c r="M149" i="11"/>
  <c r="O149" i="11"/>
  <c r="Q149" i="11"/>
  <c r="S149" i="11"/>
  <c r="U149" i="11"/>
  <c r="W149" i="11"/>
  <c r="Y149" i="11"/>
  <c r="AA149" i="11"/>
  <c r="AC149" i="11"/>
  <c r="AE149" i="11"/>
  <c r="AG149" i="11"/>
  <c r="D149" i="11"/>
  <c r="F149" i="11"/>
  <c r="H149" i="11"/>
  <c r="J149" i="11"/>
  <c r="L149" i="11"/>
  <c r="N149" i="11"/>
  <c r="P149" i="11"/>
  <c r="R149" i="11"/>
  <c r="T149" i="11"/>
  <c r="V149" i="11"/>
  <c r="X149" i="11"/>
  <c r="Z149" i="11"/>
  <c r="AB149" i="11"/>
  <c r="AD149" i="11"/>
  <c r="AF149" i="11"/>
  <c r="AI149" i="11"/>
  <c r="C149" i="11" l="1"/>
  <c r="D150" i="11"/>
  <c r="F150" i="11"/>
  <c r="H150" i="11"/>
  <c r="J150" i="11"/>
  <c r="L150" i="11"/>
  <c r="N150" i="11"/>
  <c r="P150" i="11"/>
  <c r="R150" i="11"/>
  <c r="T150" i="11"/>
  <c r="V150" i="11"/>
  <c r="X150" i="11"/>
  <c r="Z150" i="11"/>
  <c r="AB150" i="11"/>
  <c r="AD150" i="11"/>
  <c r="AF150" i="11"/>
  <c r="AI150" i="11"/>
  <c r="E150" i="11"/>
  <c r="G150" i="11"/>
  <c r="I150" i="11"/>
  <c r="K150" i="11"/>
  <c r="M150" i="11"/>
  <c r="O150" i="11"/>
  <c r="Q150" i="11"/>
  <c r="S150" i="11"/>
  <c r="U150" i="11"/>
  <c r="W150" i="11"/>
  <c r="Y150" i="11"/>
  <c r="AA150" i="11"/>
  <c r="AC150" i="11"/>
  <c r="AE150" i="11"/>
  <c r="AG150" i="11"/>
  <c r="C150" i="11" l="1"/>
  <c r="E151" i="11"/>
  <c r="G151" i="11"/>
  <c r="I151" i="11"/>
  <c r="K151" i="11"/>
  <c r="M151" i="11"/>
  <c r="O151" i="11"/>
  <c r="Q151" i="11"/>
  <c r="S151" i="11"/>
  <c r="U151" i="11"/>
  <c r="W151" i="11"/>
  <c r="Y151" i="11"/>
  <c r="AA151" i="11"/>
  <c r="AC151" i="11"/>
  <c r="AE151" i="11"/>
  <c r="AG151" i="11"/>
  <c r="D151" i="11"/>
  <c r="F151" i="11"/>
  <c r="H151" i="11"/>
  <c r="J151" i="11"/>
  <c r="L151" i="11"/>
  <c r="N151" i="11"/>
  <c r="P151" i="11"/>
  <c r="R151" i="11"/>
  <c r="T151" i="11"/>
  <c r="V151" i="11"/>
  <c r="X151" i="11"/>
  <c r="Z151" i="11"/>
  <c r="AB151" i="11"/>
  <c r="AD151" i="11"/>
  <c r="AF151" i="11"/>
  <c r="AI151" i="11"/>
  <c r="C151" i="11" l="1"/>
  <c r="D152" i="11"/>
  <c r="F152" i="11"/>
  <c r="H152" i="11"/>
  <c r="J152" i="11"/>
  <c r="L152" i="11"/>
  <c r="N152" i="11"/>
  <c r="P152" i="11"/>
  <c r="R152" i="11"/>
  <c r="T152" i="11"/>
  <c r="V152" i="11"/>
  <c r="X152" i="11"/>
  <c r="Z152" i="11"/>
  <c r="AB152" i="11"/>
  <c r="AD152" i="11"/>
  <c r="AF152" i="11"/>
  <c r="AI152" i="11"/>
  <c r="E152" i="11"/>
  <c r="G152" i="11"/>
  <c r="I152" i="11"/>
  <c r="K152" i="11"/>
  <c r="M152" i="11"/>
  <c r="O152" i="11"/>
  <c r="Q152" i="11"/>
  <c r="S152" i="11"/>
  <c r="U152" i="11"/>
  <c r="W152" i="11"/>
  <c r="Y152" i="11"/>
  <c r="AA152" i="11"/>
  <c r="AC152" i="11"/>
  <c r="AE152" i="11"/>
  <c r="AG152" i="11"/>
  <c r="C152" i="11" l="1"/>
  <c r="E153" i="11"/>
  <c r="G153" i="11"/>
  <c r="I153" i="11"/>
  <c r="K153" i="11"/>
  <c r="M153" i="11"/>
  <c r="O153" i="11"/>
  <c r="Q153" i="11"/>
  <c r="S153" i="11"/>
  <c r="U153" i="11"/>
  <c r="W153" i="11"/>
  <c r="Y153" i="11"/>
  <c r="AA153" i="11"/>
  <c r="AC153" i="11"/>
  <c r="AE153" i="11"/>
  <c r="AG153" i="11"/>
  <c r="D153" i="11"/>
  <c r="F153" i="11"/>
  <c r="H153" i="11"/>
  <c r="J153" i="11"/>
  <c r="L153" i="11"/>
  <c r="N153" i="11"/>
  <c r="P153" i="11"/>
  <c r="R153" i="11"/>
  <c r="T153" i="11"/>
  <c r="V153" i="11"/>
  <c r="X153" i="11"/>
  <c r="Z153" i="11"/>
  <c r="AB153" i="11"/>
  <c r="AD153" i="11"/>
  <c r="AF153" i="11"/>
  <c r="AI153" i="11"/>
  <c r="C153" i="11" l="1"/>
  <c r="D154" i="11"/>
  <c r="F154" i="11"/>
  <c r="H154" i="11"/>
  <c r="J154" i="11"/>
  <c r="L154" i="11"/>
  <c r="N154" i="11"/>
  <c r="P154" i="11"/>
  <c r="R154" i="11"/>
  <c r="T154" i="11"/>
  <c r="V154" i="11"/>
  <c r="X154" i="11"/>
  <c r="Z154" i="11"/>
  <c r="AB154" i="11"/>
  <c r="AD154" i="11"/>
  <c r="AF154" i="11"/>
  <c r="AI154" i="11"/>
  <c r="E154" i="11"/>
  <c r="G154" i="11"/>
  <c r="I154" i="11"/>
  <c r="K154" i="11"/>
  <c r="M154" i="11"/>
  <c r="O154" i="11"/>
  <c r="Q154" i="11"/>
  <c r="S154" i="11"/>
  <c r="U154" i="11"/>
  <c r="W154" i="11"/>
  <c r="Y154" i="11"/>
  <c r="AA154" i="11"/>
  <c r="AC154" i="11"/>
  <c r="AE154" i="11"/>
  <c r="AG154" i="11"/>
  <c r="C154" i="11" l="1"/>
  <c r="E155" i="11"/>
  <c r="G155" i="11"/>
  <c r="I155" i="11"/>
  <c r="K155" i="11"/>
  <c r="M155" i="11"/>
  <c r="O155" i="11"/>
  <c r="Q155" i="11"/>
  <c r="S155" i="11"/>
  <c r="U155" i="11"/>
  <c r="W155" i="11"/>
  <c r="Y155" i="11"/>
  <c r="AA155" i="11"/>
  <c r="AC155" i="11"/>
  <c r="AE155" i="11"/>
  <c r="AG155" i="11"/>
  <c r="D155" i="11"/>
  <c r="F155" i="11"/>
  <c r="H155" i="11"/>
  <c r="J155" i="11"/>
  <c r="L155" i="11"/>
  <c r="N155" i="11"/>
  <c r="P155" i="11"/>
  <c r="R155" i="11"/>
  <c r="T155" i="11"/>
  <c r="V155" i="11"/>
  <c r="X155" i="11"/>
  <c r="Z155" i="11"/>
  <c r="AB155" i="11"/>
  <c r="AD155" i="11"/>
  <c r="AF155" i="11"/>
  <c r="AI155" i="11"/>
  <c r="C155" i="11" l="1"/>
  <c r="D156" i="11"/>
  <c r="F156" i="11"/>
  <c r="H156" i="11"/>
  <c r="J156" i="11"/>
  <c r="L156" i="11"/>
  <c r="N156" i="11"/>
  <c r="P156" i="11"/>
  <c r="R156" i="11"/>
  <c r="T156" i="11"/>
  <c r="V156" i="11"/>
  <c r="X156" i="11"/>
  <c r="Z156" i="11"/>
  <c r="AB156" i="11"/>
  <c r="AD156" i="11"/>
  <c r="AF156" i="11"/>
  <c r="AI156" i="11"/>
  <c r="E156" i="11"/>
  <c r="G156" i="11"/>
  <c r="I156" i="11"/>
  <c r="K156" i="11"/>
  <c r="M156" i="11"/>
  <c r="O156" i="11"/>
  <c r="Q156" i="11"/>
  <c r="S156" i="11"/>
  <c r="U156" i="11"/>
  <c r="W156" i="11"/>
  <c r="Y156" i="11"/>
  <c r="AA156" i="11"/>
  <c r="AC156" i="11"/>
  <c r="AE156" i="11"/>
  <c r="AG156" i="11"/>
  <c r="C156" i="11" l="1"/>
  <c r="E157" i="11"/>
  <c r="G157" i="11"/>
  <c r="I157" i="11"/>
  <c r="K157" i="11"/>
  <c r="M157" i="11"/>
  <c r="O157" i="11"/>
  <c r="Q157" i="11"/>
  <c r="S157" i="11"/>
  <c r="U157" i="11"/>
  <c r="W157" i="11"/>
  <c r="Y157" i="11"/>
  <c r="AA157" i="11"/>
  <c r="AC157" i="11"/>
  <c r="AE157" i="11"/>
  <c r="AG157" i="11"/>
  <c r="D157" i="11"/>
  <c r="F157" i="11"/>
  <c r="H157" i="11"/>
  <c r="J157" i="11"/>
  <c r="L157" i="11"/>
  <c r="N157" i="11"/>
  <c r="P157" i="11"/>
  <c r="R157" i="11"/>
  <c r="T157" i="11"/>
  <c r="V157" i="11"/>
  <c r="X157" i="11"/>
  <c r="Z157" i="11"/>
  <c r="AB157" i="11"/>
  <c r="AD157" i="11"/>
  <c r="AF157" i="11"/>
  <c r="AI157" i="11"/>
  <c r="C157" i="11" l="1"/>
  <c r="D158" i="11"/>
  <c r="F158" i="11"/>
  <c r="H158" i="11"/>
  <c r="J158" i="11"/>
  <c r="L158" i="11"/>
  <c r="N158" i="11"/>
  <c r="P158" i="11"/>
  <c r="R158" i="11"/>
  <c r="T158" i="11"/>
  <c r="V158" i="11"/>
  <c r="X158" i="11"/>
  <c r="Z158" i="11"/>
  <c r="AB158" i="11"/>
  <c r="AD158" i="11"/>
  <c r="AF158" i="11"/>
  <c r="AI158" i="11"/>
  <c r="E158" i="11"/>
  <c r="G158" i="11"/>
  <c r="I158" i="11"/>
  <c r="K158" i="11"/>
  <c r="M158" i="11"/>
  <c r="O158" i="11"/>
  <c r="Q158" i="11"/>
  <c r="S158" i="11"/>
  <c r="U158" i="11"/>
  <c r="W158" i="11"/>
  <c r="Y158" i="11"/>
  <c r="AA158" i="11"/>
  <c r="AC158" i="11"/>
  <c r="AE158" i="11"/>
  <c r="AG158" i="11"/>
  <c r="C158" i="11" l="1"/>
  <c r="E159" i="11"/>
  <c r="G159" i="11"/>
  <c r="I159" i="11"/>
  <c r="K159" i="11"/>
  <c r="M159" i="11"/>
  <c r="O159" i="11"/>
  <c r="Q159" i="11"/>
  <c r="S159" i="11"/>
  <c r="U159" i="11"/>
  <c r="W159" i="11"/>
  <c r="Y159" i="11"/>
  <c r="AA159" i="11"/>
  <c r="AC159" i="11"/>
  <c r="AE159" i="11"/>
  <c r="AG159" i="11"/>
  <c r="D159" i="11"/>
  <c r="F159" i="11"/>
  <c r="H159" i="11"/>
  <c r="J159" i="11"/>
  <c r="L159" i="11"/>
  <c r="N159" i="11"/>
  <c r="P159" i="11"/>
  <c r="R159" i="11"/>
  <c r="T159" i="11"/>
  <c r="V159" i="11"/>
  <c r="X159" i="11"/>
  <c r="Z159" i="11"/>
  <c r="AB159" i="11"/>
  <c r="AD159" i="11"/>
  <c r="AF159" i="11"/>
  <c r="AI159" i="11"/>
  <c r="C159" i="11" l="1"/>
  <c r="D160" i="11"/>
  <c r="F160" i="11"/>
  <c r="H160" i="11"/>
  <c r="J160" i="11"/>
  <c r="L160" i="11"/>
  <c r="N160" i="11"/>
  <c r="P160" i="11"/>
  <c r="R160" i="11"/>
  <c r="T160" i="11"/>
  <c r="V160" i="11"/>
  <c r="X160" i="11"/>
  <c r="Z160" i="11"/>
  <c r="AB160" i="11"/>
  <c r="AD160" i="11"/>
  <c r="AF160" i="11"/>
  <c r="AI160" i="11"/>
  <c r="E160" i="11"/>
  <c r="G160" i="11"/>
  <c r="I160" i="11"/>
  <c r="K160" i="11"/>
  <c r="M160" i="11"/>
  <c r="O160" i="11"/>
  <c r="Q160" i="11"/>
  <c r="S160" i="11"/>
  <c r="U160" i="11"/>
  <c r="W160" i="11"/>
  <c r="Y160" i="11"/>
  <c r="AA160" i="11"/>
  <c r="AC160" i="11"/>
  <c r="AE160" i="11"/>
  <c r="AG160" i="11"/>
  <c r="C160" i="11" l="1"/>
  <c r="E161" i="11"/>
  <c r="G161" i="11"/>
  <c r="I161" i="11"/>
  <c r="K161" i="11"/>
  <c r="M161" i="11"/>
  <c r="O161" i="11"/>
  <c r="Q161" i="11"/>
  <c r="S161" i="11"/>
  <c r="U161" i="11"/>
  <c r="W161" i="11"/>
  <c r="Y161" i="11"/>
  <c r="AA161" i="11"/>
  <c r="AC161" i="11"/>
  <c r="AE161" i="11"/>
  <c r="AG161" i="11"/>
  <c r="D161" i="11"/>
  <c r="F161" i="11"/>
  <c r="H161" i="11"/>
  <c r="J161" i="11"/>
  <c r="L161" i="11"/>
  <c r="N161" i="11"/>
  <c r="P161" i="11"/>
  <c r="R161" i="11"/>
  <c r="T161" i="11"/>
  <c r="V161" i="11"/>
  <c r="X161" i="11"/>
  <c r="Z161" i="11"/>
  <c r="AB161" i="11"/>
  <c r="AD161" i="11"/>
  <c r="AF161" i="11"/>
  <c r="AI161" i="11"/>
  <c r="C161" i="11" l="1"/>
  <c r="D162" i="11"/>
  <c r="F162" i="11"/>
  <c r="H162" i="11"/>
  <c r="J162" i="11"/>
  <c r="L162" i="11"/>
  <c r="N162" i="11"/>
  <c r="P162" i="11"/>
  <c r="R162" i="11"/>
  <c r="T162" i="11"/>
  <c r="V162" i="11"/>
  <c r="X162" i="11"/>
  <c r="Z162" i="11"/>
  <c r="AB162" i="11"/>
  <c r="AD162" i="11"/>
  <c r="AF162" i="11"/>
  <c r="AI162" i="11"/>
  <c r="E162" i="11"/>
  <c r="G162" i="11"/>
  <c r="I162" i="11"/>
  <c r="K162" i="11"/>
  <c r="M162" i="11"/>
  <c r="O162" i="11"/>
  <c r="Q162" i="11"/>
  <c r="S162" i="11"/>
  <c r="U162" i="11"/>
  <c r="W162" i="11"/>
  <c r="Y162" i="11"/>
  <c r="AA162" i="11"/>
  <c r="AC162" i="11"/>
  <c r="AE162" i="11"/>
  <c r="AG162" i="11"/>
  <c r="C162" i="11" l="1"/>
  <c r="E163" i="11"/>
  <c r="G163" i="11"/>
  <c r="I163" i="11"/>
  <c r="K163" i="11"/>
  <c r="M163" i="11"/>
  <c r="O163" i="11"/>
  <c r="Q163" i="11"/>
  <c r="S163" i="11"/>
  <c r="U163" i="11"/>
  <c r="W163" i="11"/>
  <c r="Y163" i="11"/>
  <c r="AA163" i="11"/>
  <c r="AC163" i="11"/>
  <c r="AE163" i="11"/>
  <c r="AG163" i="11"/>
  <c r="D163" i="11"/>
  <c r="F163" i="11"/>
  <c r="H163" i="11"/>
  <c r="J163" i="11"/>
  <c r="L163" i="11"/>
  <c r="N163" i="11"/>
  <c r="P163" i="11"/>
  <c r="R163" i="11"/>
  <c r="T163" i="11"/>
  <c r="V163" i="11"/>
  <c r="X163" i="11"/>
  <c r="Z163" i="11"/>
  <c r="AB163" i="11"/>
  <c r="AD163" i="11"/>
  <c r="AF163" i="11"/>
  <c r="AI163" i="11"/>
  <c r="C163" i="11" l="1"/>
  <c r="D164" i="11"/>
  <c r="F164" i="11"/>
  <c r="H164" i="11"/>
  <c r="J164" i="11"/>
  <c r="L164" i="11"/>
  <c r="N164" i="11"/>
  <c r="P164" i="11"/>
  <c r="R164" i="11"/>
  <c r="T164" i="11"/>
  <c r="V164" i="11"/>
  <c r="X164" i="11"/>
  <c r="Z164" i="11"/>
  <c r="AB164" i="11"/>
  <c r="AD164" i="11"/>
  <c r="AF164" i="11"/>
  <c r="AI164" i="11"/>
  <c r="E164" i="11"/>
  <c r="G164" i="11"/>
  <c r="I164" i="11"/>
  <c r="K164" i="11"/>
  <c r="M164" i="11"/>
  <c r="O164" i="11"/>
  <c r="Q164" i="11"/>
  <c r="S164" i="11"/>
  <c r="U164" i="11"/>
  <c r="W164" i="11"/>
  <c r="Y164" i="11"/>
  <c r="AA164" i="11"/>
  <c r="AC164" i="11"/>
  <c r="AE164" i="11"/>
  <c r="AG164" i="11"/>
  <c r="C164" i="11" l="1"/>
  <c r="E165" i="11"/>
  <c r="G165" i="11"/>
  <c r="I165" i="11"/>
  <c r="K165" i="11"/>
  <c r="M165" i="11"/>
  <c r="O165" i="11"/>
  <c r="Q165" i="11"/>
  <c r="S165" i="11"/>
  <c r="U165" i="11"/>
  <c r="W165" i="11"/>
  <c r="Y165" i="11"/>
  <c r="AA165" i="11"/>
  <c r="AC165" i="11"/>
  <c r="AE165" i="11"/>
  <c r="AG165" i="11"/>
  <c r="D165" i="11"/>
  <c r="F165" i="11"/>
  <c r="H165" i="11"/>
  <c r="J165" i="11"/>
  <c r="L165" i="11"/>
  <c r="N165" i="11"/>
  <c r="P165" i="11"/>
  <c r="R165" i="11"/>
  <c r="T165" i="11"/>
  <c r="V165" i="11"/>
  <c r="X165" i="11"/>
  <c r="Z165" i="11"/>
  <c r="AB165" i="11"/>
  <c r="AD165" i="11"/>
  <c r="AF165" i="11"/>
  <c r="AI165" i="11"/>
  <c r="C165" i="11" l="1"/>
  <c r="D166" i="11"/>
  <c r="F166" i="11"/>
  <c r="H166" i="11"/>
  <c r="J166" i="11"/>
  <c r="L166" i="11"/>
  <c r="N166" i="11"/>
  <c r="P166" i="11"/>
  <c r="R166" i="11"/>
  <c r="T166" i="11"/>
  <c r="V166" i="11"/>
  <c r="X166" i="11"/>
  <c r="Z166" i="11"/>
  <c r="AB166" i="11"/>
  <c r="AD166" i="11"/>
  <c r="AF166" i="11"/>
  <c r="AI166" i="11"/>
  <c r="E166" i="11"/>
  <c r="G166" i="11"/>
  <c r="I166" i="11"/>
  <c r="K166" i="11"/>
  <c r="M166" i="11"/>
  <c r="O166" i="11"/>
  <c r="Q166" i="11"/>
  <c r="S166" i="11"/>
  <c r="U166" i="11"/>
  <c r="W166" i="11"/>
  <c r="Y166" i="11"/>
  <c r="AA166" i="11"/>
  <c r="AC166" i="11"/>
  <c r="AE166" i="11"/>
  <c r="AG166" i="11"/>
  <c r="C166" i="11" l="1"/>
  <c r="E167" i="11"/>
  <c r="G167" i="11"/>
  <c r="I167" i="11"/>
  <c r="K167" i="11"/>
  <c r="M167" i="11"/>
  <c r="O167" i="11"/>
  <c r="Q167" i="11"/>
  <c r="S167" i="11"/>
  <c r="U167" i="11"/>
  <c r="W167" i="11"/>
  <c r="Y167" i="11"/>
  <c r="AA167" i="11"/>
  <c r="AC167" i="11"/>
  <c r="AE167" i="11"/>
  <c r="AG167" i="11"/>
  <c r="F167" i="11"/>
  <c r="H167" i="11"/>
  <c r="J167" i="11"/>
  <c r="L167" i="11"/>
  <c r="N167" i="11"/>
  <c r="R167" i="11"/>
  <c r="V167" i="11"/>
  <c r="Z167" i="11"/>
  <c r="AD167" i="11"/>
  <c r="AF167" i="11"/>
  <c r="D167" i="11"/>
  <c r="P167" i="11"/>
  <c r="T167" i="11"/>
  <c r="X167" i="11"/>
  <c r="AB167" i="11"/>
  <c r="AI167" i="11"/>
  <c r="C167" i="11" l="1"/>
  <c r="E168" i="11"/>
  <c r="G168" i="11"/>
  <c r="I168" i="11"/>
  <c r="K168" i="11"/>
  <c r="O168" i="11"/>
  <c r="U168" i="11"/>
  <c r="Y168" i="11"/>
  <c r="AC168" i="11"/>
  <c r="AG168" i="11"/>
  <c r="D168" i="11"/>
  <c r="F168" i="11"/>
  <c r="H168" i="11"/>
  <c r="J168" i="11"/>
  <c r="L168" i="11"/>
  <c r="N168" i="11"/>
  <c r="P168" i="11"/>
  <c r="R168" i="11"/>
  <c r="T168" i="11"/>
  <c r="V168" i="11"/>
  <c r="X168" i="11"/>
  <c r="Z168" i="11"/>
  <c r="AB168" i="11"/>
  <c r="AD168" i="11"/>
  <c r="AF168" i="11"/>
  <c r="AI168" i="11"/>
  <c r="M168" i="11"/>
  <c r="Q168" i="11"/>
  <c r="S168" i="11"/>
  <c r="W168" i="11"/>
  <c r="AA168" i="11"/>
  <c r="AE168" i="11"/>
  <c r="C168" i="11" l="1"/>
  <c r="E169" i="11"/>
  <c r="G169" i="11"/>
  <c r="I169" i="11"/>
  <c r="K169" i="11"/>
  <c r="M169" i="11"/>
  <c r="O169" i="11"/>
  <c r="Q169" i="11"/>
  <c r="S169" i="11"/>
  <c r="U169" i="11"/>
  <c r="W169" i="11"/>
  <c r="Y169" i="11"/>
  <c r="AC169" i="11"/>
  <c r="AG169" i="11"/>
  <c r="D169" i="11"/>
  <c r="F169" i="11"/>
  <c r="H169" i="11"/>
  <c r="J169" i="11"/>
  <c r="L169" i="11"/>
  <c r="N169" i="11"/>
  <c r="P169" i="11"/>
  <c r="R169" i="11"/>
  <c r="T169" i="11"/>
  <c r="V169" i="11"/>
  <c r="X169" i="11"/>
  <c r="Z169" i="11"/>
  <c r="AB169" i="11"/>
  <c r="AD169" i="11"/>
  <c r="AF169" i="11"/>
  <c r="AI169" i="11"/>
  <c r="AA169" i="11"/>
  <c r="AE169" i="11"/>
  <c r="C169" i="11" l="1"/>
  <c r="E170" i="11"/>
  <c r="G170" i="11"/>
  <c r="I170" i="11"/>
  <c r="K170" i="11"/>
  <c r="M170" i="11"/>
  <c r="O170" i="11"/>
  <c r="Q170" i="11"/>
  <c r="S170" i="11"/>
  <c r="U170" i="11"/>
  <c r="W170" i="11"/>
  <c r="Y170" i="11"/>
  <c r="AC170" i="11"/>
  <c r="AG170" i="11"/>
  <c r="D170" i="11"/>
  <c r="F170" i="11"/>
  <c r="H170" i="11"/>
  <c r="J170" i="11"/>
  <c r="L170" i="11"/>
  <c r="N170" i="11"/>
  <c r="P170" i="11"/>
  <c r="R170" i="11"/>
  <c r="T170" i="11"/>
  <c r="V170" i="11"/>
  <c r="X170" i="11"/>
  <c r="Z170" i="11"/>
  <c r="AB170" i="11"/>
  <c r="AD170" i="11"/>
  <c r="AF170" i="11"/>
  <c r="AI170" i="11"/>
  <c r="AA170" i="11"/>
  <c r="AE170" i="11"/>
  <c r="C170" i="11" l="1"/>
  <c r="E171" i="11"/>
  <c r="G171" i="11"/>
  <c r="I171" i="11"/>
  <c r="K171" i="11"/>
  <c r="M171" i="11"/>
  <c r="O171" i="11"/>
  <c r="Q171" i="11"/>
  <c r="S171" i="11"/>
  <c r="W171" i="11"/>
  <c r="AA171" i="11"/>
  <c r="AE171" i="11"/>
  <c r="D171" i="11"/>
  <c r="F171" i="11"/>
  <c r="H171" i="11"/>
  <c r="J171" i="11"/>
  <c r="L171" i="11"/>
  <c r="N171" i="11"/>
  <c r="P171" i="11"/>
  <c r="R171" i="11"/>
  <c r="T171" i="11"/>
  <c r="V171" i="11"/>
  <c r="X171" i="11"/>
  <c r="Z171" i="11"/>
  <c r="AB171" i="11"/>
  <c r="AD171" i="11"/>
  <c r="AF171" i="11"/>
  <c r="AI171" i="11"/>
  <c r="U171" i="11"/>
  <c r="Y171" i="11"/>
  <c r="AC171" i="11"/>
  <c r="AG171" i="11"/>
  <c r="C171" i="11" l="1"/>
  <c r="E172" i="11"/>
  <c r="G172" i="11"/>
  <c r="I172" i="11"/>
  <c r="K172" i="11"/>
  <c r="M172" i="11"/>
  <c r="O172" i="11"/>
  <c r="Q172" i="11"/>
  <c r="S172" i="11"/>
  <c r="U172" i="11"/>
  <c r="W172" i="11"/>
  <c r="AA172" i="11"/>
  <c r="AE172" i="11"/>
  <c r="D172" i="11"/>
  <c r="F172" i="11"/>
  <c r="H172" i="11"/>
  <c r="J172" i="11"/>
  <c r="L172" i="11"/>
  <c r="N172" i="11"/>
  <c r="P172" i="11"/>
  <c r="R172" i="11"/>
  <c r="T172" i="11"/>
  <c r="V172" i="11"/>
  <c r="X172" i="11"/>
  <c r="Z172" i="11"/>
  <c r="AB172" i="11"/>
  <c r="AD172" i="11"/>
  <c r="AF172" i="11"/>
  <c r="AI172" i="11"/>
  <c r="Y172" i="11"/>
  <c r="AC172" i="11"/>
  <c r="AG172" i="11"/>
  <c r="C172" i="11" l="1"/>
  <c r="E173" i="11"/>
  <c r="G173" i="11"/>
  <c r="I173" i="11"/>
  <c r="K173" i="11"/>
  <c r="M173" i="11"/>
  <c r="O173" i="11"/>
  <c r="Q173" i="11"/>
  <c r="S173" i="11"/>
  <c r="U173" i="11"/>
  <c r="Y173" i="11"/>
  <c r="AC173" i="11"/>
  <c r="AG173" i="11"/>
  <c r="D173" i="11"/>
  <c r="F173" i="11"/>
  <c r="H173" i="11"/>
  <c r="J173" i="11"/>
  <c r="L173" i="11"/>
  <c r="N173" i="11"/>
  <c r="P173" i="11"/>
  <c r="R173" i="11"/>
  <c r="T173" i="11"/>
  <c r="V173" i="11"/>
  <c r="X173" i="11"/>
  <c r="Z173" i="11"/>
  <c r="AB173" i="11"/>
  <c r="AD173" i="11"/>
  <c r="AF173" i="11"/>
  <c r="AI173" i="11"/>
  <c r="W173" i="11"/>
  <c r="AA173" i="11"/>
  <c r="AE173" i="11"/>
  <c r="C173" i="11" l="1"/>
  <c r="E174" i="11"/>
  <c r="G174" i="11"/>
  <c r="I174" i="11"/>
  <c r="K174" i="11"/>
  <c r="M174" i="11"/>
  <c r="O174" i="11"/>
  <c r="Q174" i="11"/>
  <c r="S174" i="11"/>
  <c r="U174" i="11"/>
  <c r="W174" i="11"/>
  <c r="AA174" i="11"/>
  <c r="AE174" i="11"/>
  <c r="D174" i="11"/>
  <c r="F174" i="11"/>
  <c r="H174" i="11"/>
  <c r="J174" i="11"/>
  <c r="L174" i="11"/>
  <c r="N174" i="11"/>
  <c r="P174" i="11"/>
  <c r="R174" i="11"/>
  <c r="T174" i="11"/>
  <c r="V174" i="11"/>
  <c r="X174" i="11"/>
  <c r="Z174" i="11"/>
  <c r="AB174" i="11"/>
  <c r="AD174" i="11"/>
  <c r="AF174" i="11"/>
  <c r="AI174" i="11"/>
  <c r="Y174" i="11"/>
  <c r="AC174" i="11"/>
  <c r="AG174" i="11"/>
  <c r="C174" i="11" l="1"/>
  <c r="E175" i="11"/>
  <c r="G175" i="11"/>
  <c r="I175" i="11"/>
  <c r="K175" i="11"/>
  <c r="M175" i="11"/>
  <c r="O175" i="11"/>
  <c r="Q175" i="11"/>
  <c r="S175" i="11"/>
  <c r="U175" i="11"/>
  <c r="W175" i="11"/>
  <c r="Y175" i="11"/>
  <c r="AC175" i="11"/>
  <c r="AG175" i="11"/>
  <c r="D175" i="11"/>
  <c r="F175" i="11"/>
  <c r="H175" i="11"/>
  <c r="J175" i="11"/>
  <c r="L175" i="11"/>
  <c r="N175" i="11"/>
  <c r="P175" i="11"/>
  <c r="R175" i="11"/>
  <c r="T175" i="11"/>
  <c r="V175" i="11"/>
  <c r="X175" i="11"/>
  <c r="Z175" i="11"/>
  <c r="AB175" i="11"/>
  <c r="AD175" i="11"/>
  <c r="AF175" i="11"/>
  <c r="AI175" i="11"/>
  <c r="AA175" i="11"/>
  <c r="AE175" i="11"/>
  <c r="C175" i="11" l="1"/>
  <c r="E176" i="11"/>
  <c r="G176" i="11"/>
  <c r="I176" i="11"/>
  <c r="K176" i="11"/>
  <c r="M176" i="11"/>
  <c r="O176" i="11"/>
  <c r="Q176" i="11"/>
  <c r="S176" i="11"/>
  <c r="U176" i="11"/>
  <c r="Y176" i="11"/>
  <c r="AC176" i="11"/>
  <c r="AG176" i="11"/>
  <c r="D176" i="11"/>
  <c r="F176" i="11"/>
  <c r="H176" i="11"/>
  <c r="J176" i="11"/>
  <c r="L176" i="11"/>
  <c r="N176" i="11"/>
  <c r="P176" i="11"/>
  <c r="R176" i="11"/>
  <c r="T176" i="11"/>
  <c r="V176" i="11"/>
  <c r="X176" i="11"/>
  <c r="Z176" i="11"/>
  <c r="AB176" i="11"/>
  <c r="AD176" i="11"/>
  <c r="AF176" i="11"/>
  <c r="AI176" i="11"/>
  <c r="W176" i="11"/>
  <c r="AA176" i="11"/>
  <c r="AE176" i="11"/>
  <c r="C176" i="11" l="1"/>
  <c r="E177" i="11"/>
  <c r="G177" i="11"/>
  <c r="I177" i="11"/>
  <c r="K177" i="11"/>
  <c r="M177" i="11"/>
  <c r="O177" i="11"/>
  <c r="Q177" i="11"/>
  <c r="S177" i="11"/>
  <c r="U177" i="11"/>
  <c r="W177" i="11"/>
  <c r="AA177" i="11"/>
  <c r="AE177" i="11"/>
  <c r="D177" i="11"/>
  <c r="F177" i="11"/>
  <c r="H177" i="11"/>
  <c r="J177" i="11"/>
  <c r="L177" i="11"/>
  <c r="N177" i="11"/>
  <c r="P177" i="11"/>
  <c r="R177" i="11"/>
  <c r="T177" i="11"/>
  <c r="V177" i="11"/>
  <c r="X177" i="11"/>
  <c r="Z177" i="11"/>
  <c r="AB177" i="11"/>
  <c r="AD177" i="11"/>
  <c r="AF177" i="11"/>
  <c r="AI177" i="11"/>
  <c r="Y177" i="11"/>
  <c r="AC177" i="11"/>
  <c r="AG177" i="11"/>
  <c r="C177" i="11" l="1"/>
  <c r="E178" i="11"/>
  <c r="G178" i="11"/>
  <c r="I178" i="11"/>
  <c r="K178" i="11"/>
  <c r="M178" i="11"/>
  <c r="O178" i="11"/>
  <c r="Q178" i="11"/>
  <c r="S178" i="11"/>
  <c r="U178" i="11"/>
  <c r="W178" i="11"/>
  <c r="AA178" i="11"/>
  <c r="AE178" i="11"/>
  <c r="D178" i="11"/>
  <c r="F178" i="11"/>
  <c r="H178" i="11"/>
  <c r="J178" i="11"/>
  <c r="L178" i="11"/>
  <c r="N178" i="11"/>
  <c r="P178" i="11"/>
  <c r="R178" i="11"/>
  <c r="T178" i="11"/>
  <c r="V178" i="11"/>
  <c r="X178" i="11"/>
  <c r="Z178" i="11"/>
  <c r="AB178" i="11"/>
  <c r="AD178" i="11"/>
  <c r="AF178" i="11"/>
  <c r="AI178" i="11"/>
  <c r="Y178" i="11"/>
  <c r="AC178" i="11"/>
  <c r="AG178" i="11"/>
  <c r="C178" i="11" l="1"/>
  <c r="E179" i="11"/>
  <c r="G179" i="11"/>
  <c r="I179" i="11"/>
  <c r="K179" i="11"/>
  <c r="M179" i="11"/>
  <c r="O179" i="11"/>
  <c r="Q179" i="11"/>
  <c r="S179" i="11"/>
  <c r="U179" i="11"/>
  <c r="W179" i="11"/>
  <c r="Y179" i="11"/>
  <c r="AA179" i="11"/>
  <c r="AC179" i="11"/>
  <c r="AG179" i="11"/>
  <c r="D179" i="11"/>
  <c r="F179" i="11"/>
  <c r="H179" i="11"/>
  <c r="J179" i="11"/>
  <c r="L179" i="11"/>
  <c r="N179" i="11"/>
  <c r="P179" i="11"/>
  <c r="R179" i="11"/>
  <c r="T179" i="11"/>
  <c r="V179" i="11"/>
  <c r="X179" i="11"/>
  <c r="Z179" i="11"/>
  <c r="AB179" i="11"/>
  <c r="AD179" i="11"/>
  <c r="AF179" i="11"/>
  <c r="AI179" i="11"/>
  <c r="AE179" i="11"/>
  <c r="C179" i="11" l="1"/>
  <c r="E180" i="11"/>
  <c r="G180" i="11"/>
  <c r="I180" i="11"/>
  <c r="K180" i="11"/>
  <c r="M180" i="11"/>
  <c r="O180" i="11"/>
  <c r="Q180" i="11"/>
  <c r="S180" i="11"/>
  <c r="U180" i="11"/>
  <c r="W180" i="11"/>
  <c r="AA180" i="11"/>
  <c r="AE180" i="11"/>
  <c r="D180" i="11"/>
  <c r="F180" i="11"/>
  <c r="H180" i="11"/>
  <c r="J180" i="11"/>
  <c r="L180" i="11"/>
  <c r="N180" i="11"/>
  <c r="P180" i="11"/>
  <c r="R180" i="11"/>
  <c r="T180" i="11"/>
  <c r="V180" i="11"/>
  <c r="X180" i="11"/>
  <c r="Z180" i="11"/>
  <c r="AB180" i="11"/>
  <c r="AD180" i="11"/>
  <c r="AF180" i="11"/>
  <c r="AI180" i="11"/>
  <c r="Y180" i="11"/>
  <c r="AC180" i="11"/>
  <c r="AG180" i="11"/>
  <c r="C180" i="11" l="1"/>
  <c r="E181" i="11"/>
  <c r="G181" i="11"/>
  <c r="I181" i="11"/>
  <c r="K181" i="11"/>
  <c r="M181" i="11"/>
  <c r="O181" i="11"/>
  <c r="Q181" i="11"/>
  <c r="S181" i="11"/>
  <c r="U181" i="11"/>
  <c r="W181" i="11"/>
  <c r="AA181" i="11"/>
  <c r="AE181" i="11"/>
  <c r="D181" i="11"/>
  <c r="F181" i="11"/>
  <c r="H181" i="11"/>
  <c r="J181" i="11"/>
  <c r="L181" i="11"/>
  <c r="N181" i="11"/>
  <c r="P181" i="11"/>
  <c r="R181" i="11"/>
  <c r="T181" i="11"/>
  <c r="V181" i="11"/>
  <c r="X181" i="11"/>
  <c r="Z181" i="11"/>
  <c r="AB181" i="11"/>
  <c r="AD181" i="11"/>
  <c r="AF181" i="11"/>
  <c r="AI181" i="11"/>
  <c r="Y181" i="11"/>
  <c r="AC181" i="11"/>
  <c r="AG181" i="11"/>
  <c r="C181" i="11" l="1"/>
  <c r="E182" i="11"/>
  <c r="G182" i="11"/>
  <c r="I182" i="11"/>
  <c r="K182" i="11"/>
  <c r="M182" i="11"/>
  <c r="O182" i="11"/>
  <c r="Q182" i="11"/>
  <c r="S182" i="11"/>
  <c r="U182" i="11"/>
  <c r="W182" i="11"/>
  <c r="Y182" i="11"/>
  <c r="AA182" i="11"/>
  <c r="AE182" i="11"/>
  <c r="D182" i="11"/>
  <c r="F182" i="11"/>
  <c r="H182" i="11"/>
  <c r="J182" i="11"/>
  <c r="L182" i="11"/>
  <c r="N182" i="11"/>
  <c r="P182" i="11"/>
  <c r="R182" i="11"/>
  <c r="T182" i="11"/>
  <c r="V182" i="11"/>
  <c r="X182" i="11"/>
  <c r="Z182" i="11"/>
  <c r="AB182" i="11"/>
  <c r="AD182" i="11"/>
  <c r="AF182" i="11"/>
  <c r="AI182" i="11"/>
  <c r="AC182" i="11"/>
  <c r="AG182" i="11"/>
  <c r="C182" i="11" l="1"/>
  <c r="E183" i="11"/>
  <c r="G183" i="11"/>
  <c r="I183" i="11"/>
  <c r="K183" i="11"/>
  <c r="M183" i="11"/>
  <c r="O183" i="11"/>
  <c r="Q183" i="11"/>
  <c r="S183" i="11"/>
  <c r="U183" i="11"/>
  <c r="W183" i="11"/>
  <c r="AA183" i="11"/>
  <c r="AC183" i="11"/>
  <c r="AG183" i="11"/>
  <c r="D183" i="11"/>
  <c r="F183" i="11"/>
  <c r="H183" i="11"/>
  <c r="J183" i="11"/>
  <c r="L183" i="11"/>
  <c r="N183" i="11"/>
  <c r="P183" i="11"/>
  <c r="R183" i="11"/>
  <c r="T183" i="11"/>
  <c r="V183" i="11"/>
  <c r="X183" i="11"/>
  <c r="Z183" i="11"/>
  <c r="AB183" i="11"/>
  <c r="AD183" i="11"/>
  <c r="AF183" i="11"/>
  <c r="AI183" i="11"/>
  <c r="Y183" i="11"/>
  <c r="AE183" i="11"/>
  <c r="C183" i="11" l="1"/>
  <c r="E184" i="11"/>
  <c r="G184" i="11"/>
  <c r="I184" i="11"/>
  <c r="K184" i="11"/>
  <c r="M184" i="11"/>
  <c r="O184" i="11"/>
  <c r="Q184" i="11"/>
  <c r="S184" i="11"/>
  <c r="U184" i="11"/>
  <c r="W184" i="11"/>
  <c r="AA184" i="11"/>
  <c r="AC184" i="11"/>
  <c r="AG184" i="11"/>
  <c r="D184" i="11"/>
  <c r="F184" i="11"/>
  <c r="H184" i="11"/>
  <c r="J184" i="11"/>
  <c r="L184" i="11"/>
  <c r="N184" i="11"/>
  <c r="P184" i="11"/>
  <c r="R184" i="11"/>
  <c r="T184" i="11"/>
  <c r="V184" i="11"/>
  <c r="X184" i="11"/>
  <c r="Z184" i="11"/>
  <c r="AB184" i="11"/>
  <c r="AD184" i="11"/>
  <c r="AF184" i="11"/>
  <c r="AI184" i="11"/>
  <c r="Y184" i="11"/>
  <c r="AE184" i="11"/>
  <c r="C184" i="11" l="1"/>
  <c r="E185" i="11"/>
  <c r="G185" i="11"/>
  <c r="I185" i="11"/>
  <c r="K185" i="11"/>
  <c r="M185" i="11"/>
  <c r="O185" i="11"/>
  <c r="Q185" i="11"/>
  <c r="S185" i="11"/>
  <c r="U185" i="11"/>
  <c r="W185" i="11"/>
  <c r="AA185" i="11"/>
  <c r="AE185" i="11"/>
  <c r="D185" i="11"/>
  <c r="F185" i="11"/>
  <c r="H185" i="11"/>
  <c r="J185" i="11"/>
  <c r="L185" i="11"/>
  <c r="N185" i="11"/>
  <c r="P185" i="11"/>
  <c r="R185" i="11"/>
  <c r="T185" i="11"/>
  <c r="V185" i="11"/>
  <c r="X185" i="11"/>
  <c r="Z185" i="11"/>
  <c r="AB185" i="11"/>
  <c r="AD185" i="11"/>
  <c r="AF185" i="11"/>
  <c r="AI185" i="11"/>
  <c r="Y185" i="11"/>
  <c r="AC185" i="11"/>
  <c r="AG185" i="11"/>
  <c r="C185" i="11" l="1"/>
  <c r="E186" i="11"/>
  <c r="G186" i="11"/>
  <c r="I186" i="11"/>
  <c r="K186" i="11"/>
  <c r="M186" i="11"/>
  <c r="O186" i="11"/>
  <c r="Q186" i="11"/>
  <c r="S186" i="11"/>
  <c r="U186" i="11"/>
  <c r="Y186" i="11"/>
  <c r="AC186" i="11"/>
  <c r="AG186" i="11"/>
  <c r="D186" i="11"/>
  <c r="F186" i="11"/>
  <c r="H186" i="11"/>
  <c r="J186" i="11"/>
  <c r="L186" i="11"/>
  <c r="N186" i="11"/>
  <c r="P186" i="11"/>
  <c r="R186" i="11"/>
  <c r="T186" i="11"/>
  <c r="V186" i="11"/>
  <c r="X186" i="11"/>
  <c r="Z186" i="11"/>
  <c r="AB186" i="11"/>
  <c r="AD186" i="11"/>
  <c r="AF186" i="11"/>
  <c r="AI186" i="11"/>
  <c r="W186" i="11"/>
  <c r="AA186" i="11"/>
  <c r="AE186" i="11"/>
  <c r="C186" i="11" l="1"/>
  <c r="E187" i="11"/>
  <c r="G187" i="11"/>
  <c r="I187" i="11"/>
  <c r="K187" i="11"/>
  <c r="M187" i="11"/>
  <c r="O187" i="11"/>
  <c r="Q187" i="11"/>
  <c r="S187" i="11"/>
  <c r="U187" i="11"/>
  <c r="Y187" i="11"/>
  <c r="AC187" i="11"/>
  <c r="AG187" i="11"/>
  <c r="D187" i="11"/>
  <c r="F187" i="11"/>
  <c r="H187" i="11"/>
  <c r="J187" i="11"/>
  <c r="L187" i="11"/>
  <c r="N187" i="11"/>
  <c r="P187" i="11"/>
  <c r="R187" i="11"/>
  <c r="T187" i="11"/>
  <c r="V187" i="11"/>
  <c r="X187" i="11"/>
  <c r="Z187" i="11"/>
  <c r="AB187" i="11"/>
  <c r="AD187" i="11"/>
  <c r="AF187" i="11"/>
  <c r="AI187" i="11"/>
  <c r="W187" i="11"/>
  <c r="AA187" i="11"/>
  <c r="AE187" i="11"/>
  <c r="C187" i="11" l="1"/>
  <c r="E188" i="11"/>
  <c r="G188" i="11"/>
  <c r="I188" i="11"/>
  <c r="K188" i="11"/>
  <c r="M188" i="11"/>
  <c r="O188" i="11"/>
  <c r="Q188" i="11"/>
  <c r="S188" i="11"/>
  <c r="U188" i="11"/>
  <c r="W188" i="11"/>
  <c r="Y188" i="11"/>
  <c r="AC188" i="11"/>
  <c r="AE188" i="11"/>
  <c r="D188" i="11"/>
  <c r="F188" i="11"/>
  <c r="H188" i="11"/>
  <c r="J188" i="11"/>
  <c r="L188" i="11"/>
  <c r="N188" i="11"/>
  <c r="P188" i="11"/>
  <c r="R188" i="11"/>
  <c r="T188" i="11"/>
  <c r="V188" i="11"/>
  <c r="X188" i="11"/>
  <c r="Z188" i="11"/>
  <c r="AB188" i="11"/>
  <c r="AD188" i="11"/>
  <c r="AF188" i="11"/>
  <c r="AI188" i="11"/>
  <c r="AA188" i="11"/>
  <c r="AG188" i="11"/>
  <c r="C188" i="11" l="1"/>
  <c r="E189" i="11"/>
  <c r="G189" i="11"/>
  <c r="I189" i="11"/>
  <c r="K189" i="11"/>
  <c r="M189" i="11"/>
  <c r="O189" i="11"/>
  <c r="Q189" i="11"/>
  <c r="S189" i="11"/>
  <c r="U189" i="11"/>
  <c r="W189" i="11"/>
  <c r="Y189" i="11"/>
  <c r="AC189" i="11"/>
  <c r="AG189" i="11"/>
  <c r="D189" i="11"/>
  <c r="F189" i="11"/>
  <c r="H189" i="11"/>
  <c r="J189" i="11"/>
  <c r="L189" i="11"/>
  <c r="N189" i="11"/>
  <c r="P189" i="11"/>
  <c r="R189" i="11"/>
  <c r="T189" i="11"/>
  <c r="V189" i="11"/>
  <c r="X189" i="11"/>
  <c r="Z189" i="11"/>
  <c r="AB189" i="11"/>
  <c r="AD189" i="11"/>
  <c r="AF189" i="11"/>
  <c r="AI189" i="11"/>
  <c r="AA189" i="11"/>
  <c r="AE189" i="11"/>
  <c r="C189" i="11" l="1"/>
  <c r="E190" i="11"/>
  <c r="G190" i="11"/>
  <c r="I190" i="11"/>
  <c r="K190" i="11"/>
  <c r="M190" i="11"/>
  <c r="O190" i="11"/>
  <c r="Q190" i="11"/>
  <c r="S190" i="11"/>
  <c r="U190" i="11"/>
  <c r="W190" i="11"/>
  <c r="Y190" i="11"/>
  <c r="AC190" i="11"/>
  <c r="AG190" i="11"/>
  <c r="D190" i="11"/>
  <c r="F190" i="11"/>
  <c r="H190" i="11"/>
  <c r="J190" i="11"/>
  <c r="L190" i="11"/>
  <c r="N190" i="11"/>
  <c r="P190" i="11"/>
  <c r="R190" i="11"/>
  <c r="T190" i="11"/>
  <c r="V190" i="11"/>
  <c r="X190" i="11"/>
  <c r="Z190" i="11"/>
  <c r="AB190" i="11"/>
  <c r="AD190" i="11"/>
  <c r="AF190" i="11"/>
  <c r="AI190" i="11"/>
  <c r="AA190" i="11"/>
  <c r="AE190" i="11"/>
  <c r="C190" i="11" l="1"/>
  <c r="E191" i="11"/>
  <c r="G191" i="11"/>
  <c r="I191" i="11"/>
  <c r="K191" i="11"/>
  <c r="M191" i="11"/>
  <c r="O191" i="11"/>
  <c r="Q191" i="11"/>
  <c r="S191" i="11"/>
  <c r="U191" i="11"/>
  <c r="W191" i="11"/>
  <c r="Y191" i="11"/>
  <c r="AC191" i="11"/>
  <c r="AG191" i="11"/>
  <c r="D191" i="11"/>
  <c r="F191" i="11"/>
  <c r="H191" i="11"/>
  <c r="J191" i="11"/>
  <c r="L191" i="11"/>
  <c r="N191" i="11"/>
  <c r="P191" i="11"/>
  <c r="R191" i="11"/>
  <c r="T191" i="11"/>
  <c r="V191" i="11"/>
  <c r="X191" i="11"/>
  <c r="Z191" i="11"/>
  <c r="AB191" i="11"/>
  <c r="AD191" i="11"/>
  <c r="AF191" i="11"/>
  <c r="AI191" i="11"/>
  <c r="AA191" i="11"/>
  <c r="AE191" i="11"/>
  <c r="C191" i="11" l="1"/>
  <c r="E192" i="11"/>
  <c r="G192" i="11"/>
  <c r="I192" i="11"/>
  <c r="K192" i="11"/>
  <c r="M192" i="11"/>
  <c r="O192" i="11"/>
  <c r="Q192" i="11"/>
  <c r="S192" i="11"/>
  <c r="U192" i="11"/>
  <c r="W192" i="11"/>
  <c r="AA192" i="11"/>
  <c r="AC192" i="11"/>
  <c r="AG192" i="11"/>
  <c r="D192" i="11"/>
  <c r="F192" i="11"/>
  <c r="H192" i="11"/>
  <c r="J192" i="11"/>
  <c r="L192" i="11"/>
  <c r="N192" i="11"/>
  <c r="P192" i="11"/>
  <c r="R192" i="11"/>
  <c r="T192" i="11"/>
  <c r="V192" i="11"/>
  <c r="X192" i="11"/>
  <c r="Z192" i="11"/>
  <c r="AB192" i="11"/>
  <c r="AD192" i="11"/>
  <c r="AF192" i="11"/>
  <c r="AI192" i="11"/>
  <c r="Y192" i="11"/>
  <c r="AE192" i="11"/>
  <c r="C192" i="11" l="1"/>
  <c r="E193" i="11"/>
  <c r="G193" i="11"/>
  <c r="I193" i="11"/>
  <c r="K193" i="11"/>
  <c r="M193" i="11"/>
  <c r="O193" i="11"/>
  <c r="Q193" i="11"/>
  <c r="S193" i="11"/>
  <c r="U193" i="11"/>
  <c r="Y193" i="11"/>
  <c r="AC193" i="11"/>
  <c r="AG193" i="11"/>
  <c r="D193" i="11"/>
  <c r="F193" i="11"/>
  <c r="H193" i="11"/>
  <c r="J193" i="11"/>
  <c r="L193" i="11"/>
  <c r="N193" i="11"/>
  <c r="P193" i="11"/>
  <c r="R193" i="11"/>
  <c r="T193" i="11"/>
  <c r="V193" i="11"/>
  <c r="X193" i="11"/>
  <c r="Z193" i="11"/>
  <c r="AB193" i="11"/>
  <c r="AD193" i="11"/>
  <c r="AF193" i="11"/>
  <c r="AI193" i="11"/>
  <c r="W193" i="11"/>
  <c r="AA193" i="11"/>
  <c r="AE193" i="11"/>
  <c r="C193" i="11" l="1"/>
  <c r="E194" i="11"/>
  <c r="G194" i="11"/>
  <c r="I194" i="11"/>
  <c r="K194" i="11"/>
  <c r="M194" i="11"/>
  <c r="O194" i="11"/>
  <c r="Q194" i="11"/>
  <c r="S194" i="11"/>
  <c r="U194" i="11"/>
  <c r="W194" i="11"/>
  <c r="AA194" i="11"/>
  <c r="AE194" i="11"/>
  <c r="D194" i="11"/>
  <c r="F194" i="11"/>
  <c r="H194" i="11"/>
  <c r="J194" i="11"/>
  <c r="L194" i="11"/>
  <c r="N194" i="11"/>
  <c r="P194" i="11"/>
  <c r="R194" i="11"/>
  <c r="T194" i="11"/>
  <c r="V194" i="11"/>
  <c r="X194" i="11"/>
  <c r="Z194" i="11"/>
  <c r="AB194" i="11"/>
  <c r="AD194" i="11"/>
  <c r="AF194" i="11"/>
  <c r="AI194" i="11"/>
  <c r="Y194" i="11"/>
  <c r="AC194" i="11"/>
  <c r="AG194" i="11"/>
  <c r="C194" i="11" l="1"/>
  <c r="E195" i="11"/>
  <c r="G195" i="11"/>
  <c r="I195" i="11"/>
  <c r="K195" i="11"/>
  <c r="M195" i="11"/>
  <c r="O195" i="11"/>
  <c r="Q195" i="11"/>
  <c r="S195" i="11"/>
  <c r="U195" i="11"/>
  <c r="W195" i="11"/>
  <c r="Y195" i="11"/>
  <c r="AA195" i="11"/>
  <c r="AC195" i="11"/>
  <c r="AG195" i="11"/>
  <c r="D195" i="11"/>
  <c r="F195" i="11"/>
  <c r="H195" i="11"/>
  <c r="J195" i="11"/>
  <c r="L195" i="11"/>
  <c r="N195" i="11"/>
  <c r="P195" i="11"/>
  <c r="R195" i="11"/>
  <c r="T195" i="11"/>
  <c r="V195" i="11"/>
  <c r="X195" i="11"/>
  <c r="Z195" i="11"/>
  <c r="AB195" i="11"/>
  <c r="AD195" i="11"/>
  <c r="AF195" i="11"/>
  <c r="AI195" i="11"/>
  <c r="AE195" i="11"/>
  <c r="C195" i="11" l="1"/>
  <c r="E196" i="11"/>
  <c r="G196" i="11"/>
  <c r="I196" i="11"/>
  <c r="K196" i="11"/>
  <c r="M196" i="11"/>
  <c r="O196" i="11"/>
  <c r="Q196" i="11"/>
  <c r="S196" i="11"/>
  <c r="U196" i="11"/>
  <c r="W196" i="11"/>
  <c r="AA196" i="11"/>
  <c r="AE196" i="11"/>
  <c r="D196" i="11"/>
  <c r="F196" i="11"/>
  <c r="H196" i="11"/>
  <c r="J196" i="11"/>
  <c r="L196" i="11"/>
  <c r="N196" i="11"/>
  <c r="P196" i="11"/>
  <c r="R196" i="11"/>
  <c r="T196" i="11"/>
  <c r="V196" i="11"/>
  <c r="X196" i="11"/>
  <c r="Z196" i="11"/>
  <c r="AB196" i="11"/>
  <c r="AD196" i="11"/>
  <c r="AF196" i="11"/>
  <c r="AI196" i="11"/>
  <c r="Y196" i="11"/>
  <c r="AC196" i="11"/>
  <c r="AG196" i="11"/>
  <c r="C196" i="11" l="1"/>
  <c r="E197" i="11"/>
  <c r="G197" i="11"/>
  <c r="I197" i="11"/>
  <c r="K197" i="11"/>
  <c r="M197" i="11"/>
  <c r="O197" i="11"/>
  <c r="Q197" i="11"/>
  <c r="S197" i="11"/>
  <c r="U197" i="11"/>
  <c r="W197" i="11"/>
  <c r="AA197" i="11"/>
  <c r="AE197" i="11"/>
  <c r="D197" i="11"/>
  <c r="F197" i="11"/>
  <c r="H197" i="11"/>
  <c r="J197" i="11"/>
  <c r="L197" i="11"/>
  <c r="N197" i="11"/>
  <c r="P197" i="11"/>
  <c r="R197" i="11"/>
  <c r="T197" i="11"/>
  <c r="V197" i="11"/>
  <c r="X197" i="11"/>
  <c r="Z197" i="11"/>
  <c r="AB197" i="11"/>
  <c r="AD197" i="11"/>
  <c r="AF197" i="11"/>
  <c r="AI197" i="11"/>
  <c r="Y197" i="11"/>
  <c r="AC197" i="11"/>
  <c r="AG197" i="11"/>
  <c r="C197" i="11" l="1"/>
  <c r="E198" i="11"/>
  <c r="G198" i="11"/>
  <c r="I198" i="11"/>
  <c r="K198" i="11"/>
  <c r="M198" i="11"/>
  <c r="O198" i="11"/>
  <c r="Q198" i="11"/>
  <c r="S198" i="11"/>
  <c r="U198" i="11"/>
  <c r="Y198" i="11"/>
  <c r="AC198" i="11"/>
  <c r="AG198" i="11"/>
  <c r="D198" i="11"/>
  <c r="F198" i="11"/>
  <c r="H198" i="11"/>
  <c r="J198" i="11"/>
  <c r="L198" i="11"/>
  <c r="N198" i="11"/>
  <c r="P198" i="11"/>
  <c r="R198" i="11"/>
  <c r="T198" i="11"/>
  <c r="V198" i="11"/>
  <c r="X198" i="11"/>
  <c r="Z198" i="11"/>
  <c r="AB198" i="11"/>
  <c r="AD198" i="11"/>
  <c r="AF198" i="11"/>
  <c r="AI198" i="11"/>
  <c r="W198" i="11"/>
  <c r="AA198" i="11"/>
  <c r="AE198" i="11"/>
  <c r="C198" i="11" l="1"/>
  <c r="E199" i="11"/>
  <c r="G199" i="11"/>
  <c r="I199" i="11"/>
  <c r="K199" i="11"/>
  <c r="M199" i="11"/>
  <c r="O199" i="11"/>
  <c r="S199" i="11"/>
  <c r="U199" i="11"/>
  <c r="Y199" i="11"/>
  <c r="AC199" i="11"/>
  <c r="AG199" i="11"/>
  <c r="D199" i="11"/>
  <c r="F199" i="11"/>
  <c r="H199" i="11"/>
  <c r="J199" i="11"/>
  <c r="L199" i="11"/>
  <c r="N199" i="11"/>
  <c r="P199" i="11"/>
  <c r="R199" i="11"/>
  <c r="T199" i="11"/>
  <c r="V199" i="11"/>
  <c r="X199" i="11"/>
  <c r="Z199" i="11"/>
  <c r="AB199" i="11"/>
  <c r="AD199" i="11"/>
  <c r="AF199" i="11"/>
  <c r="AI199" i="11"/>
  <c r="Q199" i="11"/>
  <c r="W199" i="11"/>
  <c r="AA199" i="11"/>
  <c r="AE199" i="11"/>
  <c r="C199" i="11" l="1"/>
  <c r="E200" i="11"/>
  <c r="G200" i="11"/>
  <c r="I200" i="11"/>
  <c r="K200" i="11"/>
  <c r="M200" i="11"/>
  <c r="O200" i="11"/>
  <c r="Q200" i="11"/>
  <c r="S200" i="11"/>
  <c r="U200" i="11"/>
  <c r="Y200" i="11"/>
  <c r="AC200" i="11"/>
  <c r="AG200" i="11"/>
  <c r="D200" i="11"/>
  <c r="F200" i="11"/>
  <c r="H200" i="11"/>
  <c r="J200" i="11"/>
  <c r="L200" i="11"/>
  <c r="N200" i="11"/>
  <c r="P200" i="11"/>
  <c r="R200" i="11"/>
  <c r="T200" i="11"/>
  <c r="V200" i="11"/>
  <c r="X200" i="11"/>
  <c r="Z200" i="11"/>
  <c r="AB200" i="11"/>
  <c r="AD200" i="11"/>
  <c r="AF200" i="11"/>
  <c r="AI200" i="11"/>
  <c r="W200" i="11"/>
  <c r="AA200" i="11"/>
  <c r="AE200" i="11"/>
  <c r="C200" i="11" l="1"/>
  <c r="E201" i="11"/>
  <c r="G201" i="11"/>
  <c r="I201" i="11"/>
  <c r="K201" i="11"/>
  <c r="M201" i="11"/>
  <c r="O201" i="11"/>
  <c r="Q201" i="11"/>
  <c r="S201" i="11"/>
  <c r="U201" i="11"/>
  <c r="W201" i="11"/>
  <c r="Y201" i="11"/>
  <c r="AA201" i="11"/>
  <c r="AC201" i="11"/>
  <c r="AE201" i="11"/>
  <c r="AG201" i="11"/>
  <c r="D201" i="11"/>
  <c r="F201" i="11"/>
  <c r="H201" i="11"/>
  <c r="J201" i="11"/>
  <c r="L201" i="11"/>
  <c r="N201" i="11"/>
  <c r="P201" i="11"/>
  <c r="R201" i="11"/>
  <c r="T201" i="11"/>
  <c r="V201" i="11"/>
  <c r="X201" i="11"/>
  <c r="Z201" i="11"/>
  <c r="AB201" i="11"/>
  <c r="AD201" i="11"/>
  <c r="AF201" i="11"/>
  <c r="AI201" i="11"/>
  <c r="J2" i="11"/>
  <c r="I2" i="11"/>
  <c r="AF2" i="11"/>
  <c r="H2" i="11"/>
  <c r="K2" i="11"/>
  <c r="G2" i="11"/>
  <c r="L2" i="11"/>
  <c r="AE2" i="11"/>
  <c r="C201" i="11" l="1"/>
  <c r="T2" i="11"/>
  <c r="U2" i="11"/>
  <c r="B33" i="12" l="1"/>
  <c r="AB2" i="11"/>
  <c r="H3" i="12"/>
  <c r="B35" i="12"/>
  <c r="B34" i="12"/>
  <c r="C4" i="12" l="1"/>
  <c r="C6" i="12"/>
  <c r="C5" i="12"/>
  <c r="C15" i="12"/>
  <c r="C14" i="12"/>
  <c r="C24" i="12"/>
  <c r="L1" i="12" s="1"/>
  <c r="C7" i="12"/>
  <c r="M4" i="12"/>
  <c r="O4" i="12"/>
  <c r="Q4" i="12"/>
  <c r="M5" i="12"/>
  <c r="O5" i="12"/>
  <c r="Q5" i="12"/>
  <c r="M6" i="12"/>
  <c r="O6" i="12"/>
  <c r="Q6" i="12"/>
  <c r="M7" i="12"/>
  <c r="O7" i="12"/>
  <c r="Q7" i="12"/>
  <c r="M8" i="12"/>
  <c r="O8" i="12"/>
  <c r="Q8" i="12"/>
  <c r="M9" i="12"/>
  <c r="O9" i="12"/>
  <c r="Q9" i="12"/>
  <c r="M10" i="12"/>
  <c r="O10" i="12"/>
  <c r="Q10" i="12"/>
  <c r="M11" i="12"/>
  <c r="O11" i="12"/>
  <c r="Q11" i="12"/>
  <c r="M12" i="12"/>
  <c r="O12" i="12"/>
  <c r="Q12" i="12"/>
  <c r="M13" i="12"/>
  <c r="O13" i="12"/>
  <c r="Q13" i="12"/>
  <c r="M14" i="12"/>
  <c r="O14" i="12"/>
  <c r="Q14" i="12"/>
  <c r="M15" i="12"/>
  <c r="O15" i="12"/>
  <c r="Q15" i="12"/>
  <c r="M16" i="12"/>
  <c r="O16" i="12"/>
  <c r="Q16" i="12"/>
  <c r="M17" i="12"/>
  <c r="O17" i="12"/>
  <c r="Q17" i="12"/>
  <c r="M18" i="12"/>
  <c r="O18" i="12"/>
  <c r="Q18" i="12"/>
  <c r="M19" i="12"/>
  <c r="O19" i="12"/>
  <c r="Q19" i="12"/>
  <c r="M20" i="12"/>
  <c r="O20" i="12"/>
  <c r="Q20" i="12"/>
  <c r="M21" i="12"/>
  <c r="O21" i="12"/>
  <c r="Q21" i="12"/>
  <c r="M22" i="12"/>
  <c r="O22" i="12"/>
  <c r="Q22" i="12"/>
  <c r="M23" i="12"/>
  <c r="O23" i="12"/>
  <c r="Q23" i="12"/>
  <c r="M24" i="12"/>
  <c r="O24" i="12"/>
  <c r="Q24" i="12"/>
  <c r="M25" i="12"/>
  <c r="O25" i="12"/>
  <c r="Q25" i="12"/>
  <c r="M26" i="12"/>
  <c r="O26" i="12"/>
  <c r="Q26" i="12"/>
  <c r="M27" i="12"/>
  <c r="O27" i="12"/>
  <c r="Q27" i="12"/>
  <c r="M28" i="12"/>
  <c r="O28" i="12"/>
  <c r="Q28" i="12"/>
  <c r="M29" i="12"/>
  <c r="O29" i="12"/>
  <c r="Q29" i="12"/>
  <c r="M30" i="12"/>
  <c r="O30" i="12"/>
  <c r="Q30" i="12"/>
  <c r="M31" i="12"/>
  <c r="O31" i="12"/>
  <c r="Q31" i="12"/>
  <c r="M32" i="12"/>
  <c r="O32" i="12"/>
  <c r="Q32" i="12"/>
  <c r="M33" i="12"/>
  <c r="O33" i="12"/>
  <c r="Q33" i="12"/>
  <c r="M34" i="12"/>
  <c r="O34" i="12"/>
  <c r="Q34" i="12"/>
  <c r="M35" i="12"/>
  <c r="O35" i="12"/>
  <c r="Q35" i="12"/>
  <c r="M36" i="12"/>
  <c r="O36" i="12"/>
  <c r="Q36" i="12"/>
  <c r="M37" i="12"/>
  <c r="O37" i="12"/>
  <c r="Q37" i="12"/>
  <c r="M38" i="12"/>
  <c r="O38" i="12"/>
  <c r="Q38" i="12"/>
  <c r="M39" i="12"/>
  <c r="O39" i="12"/>
  <c r="Q39" i="12"/>
  <c r="M40" i="12"/>
  <c r="O40" i="12"/>
  <c r="Q40" i="12"/>
  <c r="M41" i="12"/>
  <c r="O41" i="12"/>
  <c r="Q41" i="12"/>
  <c r="M42" i="12"/>
  <c r="O42" i="12"/>
  <c r="Q42" i="12"/>
  <c r="M43" i="12"/>
  <c r="O43" i="12"/>
  <c r="Q43" i="12"/>
  <c r="M44" i="12"/>
  <c r="O44" i="12"/>
  <c r="Q44" i="12"/>
  <c r="M45" i="12"/>
  <c r="O45" i="12"/>
  <c r="Q45" i="12"/>
  <c r="M46" i="12"/>
  <c r="O46" i="12"/>
  <c r="Q46" i="12"/>
  <c r="M47" i="12"/>
  <c r="O47" i="12"/>
  <c r="Q47" i="12"/>
  <c r="M48" i="12"/>
  <c r="O48" i="12"/>
  <c r="Q48" i="12"/>
  <c r="M49" i="12"/>
  <c r="O49" i="12"/>
  <c r="Q49" i="12"/>
  <c r="L49" i="12"/>
  <c r="L4" i="12"/>
  <c r="N4" i="12"/>
  <c r="P4" i="12"/>
  <c r="L5" i="12"/>
  <c r="N5" i="12"/>
  <c r="P5" i="12"/>
  <c r="L6" i="12"/>
  <c r="N6" i="12"/>
  <c r="P6" i="12"/>
  <c r="L7" i="12"/>
  <c r="N7" i="12"/>
  <c r="P7" i="12"/>
  <c r="L8" i="12"/>
  <c r="N8" i="12"/>
  <c r="P8" i="12"/>
  <c r="L9" i="12"/>
  <c r="N9" i="12"/>
  <c r="P9" i="12"/>
  <c r="L10" i="12"/>
  <c r="N10" i="12"/>
  <c r="P10" i="12"/>
  <c r="L11" i="12"/>
  <c r="N11" i="12"/>
  <c r="P11" i="12"/>
  <c r="L12" i="12"/>
  <c r="N12" i="12"/>
  <c r="P12" i="12"/>
  <c r="L13" i="12"/>
  <c r="N13" i="12"/>
  <c r="P13" i="12"/>
  <c r="L14" i="12"/>
  <c r="N14" i="12"/>
  <c r="P14" i="12"/>
  <c r="L15" i="12"/>
  <c r="N15" i="12"/>
  <c r="P15" i="12"/>
  <c r="L16" i="12"/>
  <c r="N16" i="12"/>
  <c r="P16" i="12"/>
  <c r="L17" i="12"/>
  <c r="N17" i="12"/>
  <c r="P17" i="12"/>
  <c r="L18" i="12"/>
  <c r="N18" i="12"/>
  <c r="P18" i="12"/>
  <c r="L19" i="12"/>
  <c r="N19" i="12"/>
  <c r="P19" i="12"/>
  <c r="L20" i="12"/>
  <c r="N20" i="12"/>
  <c r="P20" i="12"/>
  <c r="L21" i="12"/>
  <c r="N21" i="12"/>
  <c r="P21" i="12"/>
  <c r="L22" i="12"/>
  <c r="N22" i="12"/>
  <c r="P22" i="12"/>
  <c r="L23" i="12"/>
  <c r="N23" i="12"/>
  <c r="P23" i="12"/>
  <c r="L24" i="12"/>
  <c r="N24" i="12"/>
  <c r="P24" i="12"/>
  <c r="L25" i="12"/>
  <c r="N25" i="12"/>
  <c r="P25" i="12"/>
  <c r="L26" i="12"/>
  <c r="N26" i="12"/>
  <c r="P26" i="12"/>
  <c r="L27" i="12"/>
  <c r="N27" i="12"/>
  <c r="P27" i="12"/>
  <c r="L28" i="12"/>
  <c r="N28" i="12"/>
  <c r="P28" i="12"/>
  <c r="L29" i="12"/>
  <c r="N29" i="12"/>
  <c r="P29" i="12"/>
  <c r="L30" i="12"/>
  <c r="N30" i="12"/>
  <c r="P30" i="12"/>
  <c r="L31" i="12"/>
  <c r="N31" i="12"/>
  <c r="P31" i="12"/>
  <c r="L32" i="12"/>
  <c r="N32" i="12"/>
  <c r="P32" i="12"/>
  <c r="L33" i="12"/>
  <c r="N33" i="12"/>
  <c r="P33" i="12"/>
  <c r="L34" i="12"/>
  <c r="N34" i="12"/>
  <c r="P34" i="12"/>
  <c r="L35" i="12"/>
  <c r="N35" i="12"/>
  <c r="P35" i="12"/>
  <c r="L36" i="12"/>
  <c r="N36" i="12"/>
  <c r="P36" i="12"/>
  <c r="L37" i="12"/>
  <c r="N37" i="12"/>
  <c r="P37" i="12"/>
  <c r="L38" i="12"/>
  <c r="N38" i="12"/>
  <c r="P38" i="12"/>
  <c r="L39" i="12"/>
  <c r="N39" i="12"/>
  <c r="P39" i="12"/>
  <c r="L40" i="12"/>
  <c r="N40" i="12"/>
  <c r="P40" i="12"/>
  <c r="L41" i="12"/>
  <c r="N41" i="12"/>
  <c r="P41" i="12"/>
  <c r="L42" i="12"/>
  <c r="N42" i="12"/>
  <c r="P42" i="12"/>
  <c r="L43" i="12"/>
  <c r="N43" i="12"/>
  <c r="P43" i="12"/>
  <c r="L44" i="12"/>
  <c r="N44" i="12"/>
  <c r="P44" i="12"/>
  <c r="L45" i="12"/>
  <c r="N45" i="12"/>
  <c r="P45" i="12"/>
  <c r="L46" i="12"/>
  <c r="N46" i="12"/>
  <c r="P46" i="12"/>
  <c r="L47" i="12"/>
  <c r="N47" i="12"/>
  <c r="P47" i="12"/>
  <c r="L48" i="12"/>
  <c r="N48" i="12"/>
  <c r="P48" i="12"/>
  <c r="N49" i="12"/>
  <c r="P49" i="12"/>
  <c r="B28" i="12"/>
  <c r="M3" i="12"/>
  <c r="P3" i="12"/>
  <c r="L3" i="12"/>
  <c r="B30" i="12"/>
  <c r="B29" i="12"/>
  <c r="O3" i="12"/>
  <c r="B27" i="12"/>
  <c r="N3" i="12"/>
  <c r="K3" i="12"/>
  <c r="J3" i="12"/>
  <c r="Q3" i="12"/>
  <c r="I3" i="12"/>
  <c r="A26" i="12" l="1"/>
  <c r="AD2" i="11"/>
  <c r="D2" i="11"/>
  <c r="AC2" i="11"/>
  <c r="Y2" i="11"/>
  <c r="AA2" i="11"/>
  <c r="E2" i="11"/>
  <c r="N2" i="11"/>
  <c r="O2" i="11"/>
  <c r="S2" i="11"/>
  <c r="V2" i="11"/>
  <c r="F2" i="11"/>
  <c r="M2" i="11"/>
  <c r="Q2" i="11"/>
  <c r="Z2" i="11"/>
  <c r="X2" i="11"/>
  <c r="W2" i="11"/>
  <c r="P2" i="11"/>
  <c r="AG2" i="11"/>
  <c r="R2" i="11"/>
  <c r="C2" i="11" l="1"/>
  <c r="AI2" i="11"/>
</calcChain>
</file>

<file path=xl/sharedStrings.xml><?xml version="1.0" encoding="utf-8"?>
<sst xmlns="http://schemas.openxmlformats.org/spreadsheetml/2006/main" count="127" uniqueCount="119">
  <si>
    <t>ACTION</t>
  </si>
  <si>
    <t>MENU</t>
  </si>
  <si>
    <t>Symbol</t>
  </si>
  <si>
    <t xml:space="preserve">_x000D_
</t>
  </si>
  <si>
    <t>High</t>
  </si>
  <si>
    <t>Low</t>
  </si>
  <si>
    <t>Volume</t>
  </si>
  <si>
    <t>Exch</t>
  </si>
  <si>
    <t>% Chg</t>
  </si>
  <si>
    <t>Net Chg</t>
  </si>
  <si>
    <t>LTQ</t>
  </si>
  <si>
    <t>Best Bid</t>
  </si>
  <si>
    <t>Bid Qty</t>
  </si>
  <si>
    <t>Best Ask</t>
  </si>
  <si>
    <t>Ask Qty</t>
  </si>
  <si>
    <t>Avg Price</t>
  </si>
  <si>
    <t>Buy Qty</t>
  </si>
  <si>
    <t>Sell Qty</t>
  </si>
  <si>
    <t>Open</t>
  </si>
  <si>
    <t>Close</t>
  </si>
  <si>
    <t>Open Int</t>
  </si>
  <si>
    <t>Lower Ckt</t>
  </si>
  <si>
    <t>Upper Ckt</t>
  </si>
  <si>
    <t>Last Trade Time</t>
  </si>
  <si>
    <t>Spot</t>
  </si>
  <si>
    <t>Sub Quotes</t>
  </si>
  <si>
    <t>Ltp Color</t>
  </si>
  <si>
    <t>NSE_EQ</t>
  </si>
  <si>
    <t>TERMS OF USE</t>
  </si>
  <si>
    <r>
      <t xml:space="preserve">
These terms of use (“Terms”) are an agreement between you (“You”, “Your”) and Howutrade Software Solutions LLP (“HowUTrade”, “We”, “Our” or “Us”) with registered office at 2/330, New Middle St, Madukkur North,Thanjavur, Tamil Nadu, India 614903 and govern your use of HowUTrade’s program code (the “Code”) written in VBA or AFL or any other computer programming or scripting language.
By using the code, you are agreeing to these terms. Please read them carefully.
If you do not agree to these terms, you do not have the right to access or use the code.If you do use the code you shall be deemed to confirm your acceptance of the terms.
Using the code does not give you ownership of any intellectual property rights in the code or the content you access.
</t>
    </r>
    <r>
      <rPr>
        <b/>
        <sz val="11"/>
        <color theme="1" tint="0.249977111117893"/>
        <rFont val="Cambria"/>
        <family val="1"/>
        <scheme val="major"/>
      </rPr>
      <t xml:space="preserve">
1.   LICENSE:</t>
    </r>
    <r>
      <rPr>
        <sz val="11"/>
        <color theme="1" tint="0.249977111117893"/>
        <rFont val="Cambria"/>
        <family val="1"/>
        <scheme val="major"/>
      </rPr>
      <t xml:space="preserve">
HowUTrade grants to you a limited, non-exclusive, non-transferable license, without right to sub-license, to use the code. HowUTrade does not transfer the title of the code to you.The code provided to you is not a sale.The code is licensed for personal use only, not commercial use.
</t>
    </r>
    <r>
      <rPr>
        <b/>
        <sz val="11"/>
        <color theme="1" tint="0.249977111117893"/>
        <rFont val="Cambria"/>
        <family val="1"/>
        <scheme val="major"/>
      </rPr>
      <t xml:space="preserve">
2.  LIMITATIONS:</t>
    </r>
    <r>
      <rPr>
        <sz val="11"/>
        <color theme="1" tint="0.249977111117893"/>
        <rFont val="Cambria"/>
        <family val="1"/>
        <scheme val="major"/>
      </rPr>
      <t xml:space="preserve">
You agree not to, and you will not permit others to:
license, sell, rent, lease, assign, distribute, transmit, host, outsource, disclose or otherwise commercially exploit the code provided by HowUTrade or make the code available to any third party.
</t>
    </r>
    <r>
      <rPr>
        <b/>
        <sz val="11"/>
        <color theme="1" tint="0.249977111117893"/>
        <rFont val="Cambria"/>
        <family val="1"/>
        <scheme val="major"/>
      </rPr>
      <t xml:space="preserve">
3.  USE RESTRICTIONS:</t>
    </r>
    <r>
      <rPr>
        <sz val="11"/>
        <color theme="1" tint="0.249977111117893"/>
        <rFont val="Cambria"/>
        <family val="1"/>
        <scheme val="major"/>
      </rPr>
      <t xml:space="preserve">
You shall use the code in compliance with all applicable laws and not for any unlawful purpose.Without limiting the foregoing, use, display or distribution of the code together with material that is pornographic, racist, vulgar, obscene, defamatory, libelous, abusive, promoting hatred, discriminating or displaying prejudice based on religion, ethnic heritage, race, sexual orientation or age is strictly prohibited.
</t>
    </r>
    <r>
      <rPr>
        <b/>
        <sz val="11"/>
        <color theme="1" tint="0.249977111117893"/>
        <rFont val="Cambria"/>
        <family val="1"/>
        <scheme val="major"/>
      </rPr>
      <t xml:space="preserve">
4.  COPYRIGHT RESTRICTIONS:</t>
    </r>
    <r>
      <rPr>
        <sz val="11"/>
        <color theme="1" tint="0.249977111117893"/>
        <rFont val="Cambria"/>
        <family val="1"/>
        <scheme val="major"/>
      </rPr>
      <t xml:space="preserve">
The code provided by HowUTrade contains copyrighted material, trade secrets and other proprietary material. You shall not, and shall not attempt to, modify, reverse engineer, disassemble or decompile nor can you create any derivative works or other works that are based upon or derived from the code in whole or in part.
</t>
    </r>
    <r>
      <rPr>
        <b/>
        <sz val="11"/>
        <color theme="1" tint="0.249977111117893"/>
        <rFont val="Cambria"/>
        <family val="1"/>
        <scheme val="major"/>
      </rPr>
      <t>5. INDEMNIFICATION:</t>
    </r>
    <r>
      <rPr>
        <sz val="11"/>
        <color theme="1" tint="0.249977111117893"/>
        <rFont val="Cambria"/>
        <family val="1"/>
        <scheme val="major"/>
      </rPr>
      <t xml:space="preserve">
You will indemnify, hold harmless, and defend HowUTrade, its employees, agents and distributors against any and all claims, proceedings, demand and costs resulting from or in any way connected with your use of the code.
</t>
    </r>
    <r>
      <rPr>
        <b/>
        <sz val="11"/>
        <color theme="1" tint="0.249977111117893"/>
        <rFont val="Cambria"/>
        <family val="1"/>
        <scheme val="major"/>
      </rPr>
      <t>6. REGULATORY APPROVALS:</t>
    </r>
    <r>
      <rPr>
        <sz val="11"/>
        <color theme="1" tint="0.249977111117893"/>
        <rFont val="Cambria"/>
        <family val="1"/>
        <scheme val="major"/>
      </rPr>
      <t xml:space="preserve">
You should take necessary regulatory approvals if any, required to use the code for trading or investment in stock markets.For any and all compliance related queries, you can contact your stock broker or trading member.You hereby consent that you are aware of the risk involved in programmatic trading and have sufficient basic programming and coding knowledge required to use the code.
</t>
    </r>
    <r>
      <rPr>
        <b/>
        <sz val="11"/>
        <color theme="1" tint="0.249977111117893"/>
        <rFont val="Cambria"/>
        <family val="1"/>
        <scheme val="major"/>
      </rPr>
      <t>7. CONSENT OF USE OF DATA:</t>
    </r>
    <r>
      <rPr>
        <sz val="11"/>
        <color theme="1" tint="0.249977111117893"/>
        <rFont val="Cambria"/>
        <family val="1"/>
        <scheme val="major"/>
      </rPr>
      <t xml:space="preserve">
The code may collect information gathered in any manner as a part of the product support services provided to you if any related to the code and send that to HowUTrade. HowUTrade may use this information to improve our products and services. Your use of the code operates as your consent to these practices.
</t>
    </r>
    <r>
      <rPr>
        <b/>
        <sz val="11"/>
        <color theme="1" tint="0.249977111117893"/>
        <rFont val="Cambria"/>
        <family val="1"/>
        <scheme val="major"/>
      </rPr>
      <t>8. INVESTMENT DISCLAIMER:</t>
    </r>
    <r>
      <rPr>
        <sz val="11"/>
        <color theme="1" tint="0.249977111117893"/>
        <rFont val="Cambria"/>
        <family val="1"/>
        <scheme val="major"/>
      </rPr>
      <t xml:space="preserve">
HowUTrade is not a stock broker or trading member,is not an investment advisor and has no access to non-public information about publicly traded companies. HowUTrade is not giving or receiving of financial advice, advice concerning investment decisions or tax or legal advice. HowUTrade merely provide information technology services. Neither HowUTrade nor its employees are licensed investment advisors, tax advisors, nor attorneys. Consult with a licensed investment advisor and a tax advisor to determine the suitability of any investment. You are advised to conduct your own independent research into individual stocks before making a purchase decision.In addition, you are advised that past stock performance is not indicative of future price action and it should not be assumed that future results will be profitable or will equal past performance, real, indicated or implied. You should be aware of the risks involved in stock investments. The code provided by HowUTrade do not provide, imply, or otherwise constitute a guarantee of performance.
</t>
    </r>
    <r>
      <rPr>
        <b/>
        <sz val="11"/>
        <color theme="1" tint="0.249977111117893"/>
        <rFont val="Cambria"/>
        <family val="1"/>
        <scheme val="major"/>
      </rPr>
      <t>9.  GOVERNING LAW:</t>
    </r>
    <r>
      <rPr>
        <sz val="11"/>
        <color theme="1" tint="0.249977111117893"/>
        <rFont val="Cambria"/>
        <family val="1"/>
        <scheme val="major"/>
      </rPr>
      <t xml:space="preserve">
This terms of use shall be governed and interpreted by the laws of the Union of India. Only courts in Thanjavur (Tamil Nadu) shall have the jurisdiction for the resolution of any disputes hereunder. You hereby consent to such personal and exclusive jurisdiction.If any provision shall be considered unlawful, void or otherwise unenforceable, then that provision shall be deemed severable from this terms of use and not affect the validity and enforceability of any other provisions.
</t>
    </r>
    <r>
      <rPr>
        <b/>
        <sz val="11"/>
        <color theme="1" tint="0.249977111117893"/>
        <rFont val="Cambria"/>
        <family val="1"/>
        <scheme val="major"/>
      </rPr>
      <t>10.  WARRANTY DISCLAIMER:</t>
    </r>
    <r>
      <rPr>
        <sz val="11"/>
        <color theme="1" tint="0.249977111117893"/>
        <rFont val="Cambria"/>
        <family val="1"/>
        <scheme val="major"/>
      </rPr>
      <t xml:space="preserve">
HOWUTRADE HEREBY EXPRESSLY DISCLAIM ANY WARRANTY FOR THE CODE.THE CODE IS PROVIDED “AS IS” WITHOUT WARRANTY OF ANY KIND, EITHER EXPRESS OR IMPLIED, INCLUDING, WITHOUT LIMITATION, THE IMPLIED WARRANTIES OF MERCHANTABILITY, FITNESS FOR A PARTICULAR PURPOSE, OR NON-INFRINGEMENT.YOU ACCEPTS ANY AND ALL RISK ARISING OUT OF USE OR PERFORMANCE OF THE CODE.
</t>
    </r>
    <r>
      <rPr>
        <b/>
        <sz val="11"/>
        <color theme="1" tint="0.249977111117893"/>
        <rFont val="Cambria"/>
        <family val="1"/>
        <scheme val="major"/>
      </rPr>
      <t>11.  LIMITATION OF LIABILITY:</t>
    </r>
    <r>
      <rPr>
        <sz val="11"/>
        <color theme="1" tint="0.249977111117893"/>
        <rFont val="Cambria"/>
        <family val="1"/>
        <scheme val="major"/>
      </rPr>
      <t xml:space="preserve">
HOWUTRADE SHALL NOT BE LIABLE TO YOU, OR ANY OTHER PERSON OR ENTITY CLAIMING THROUGH YOU ANY LOSS OF PROFITS, INCOME, SAVINGS, OR ANY OTHER CONSEQUENTIAL INCIDENTAL, SPECIAL, PUNITIVE, DIRECT OR INDIRECT DAMAGE, WHETHER ARISING IN CONTRACT, TORT, WARRANTY, OR OTHERWISE, ARISING FROM, OUT OF OR IN CONNECTION WITH THE CODE OR THE USE OR OTHER DEALINGS IN THE CODE. UNDER NO CIRCUMSTANCES SHALL HOWUTRADE AGGREGATE LIABILITY TO YOU,OR OTHER PERSON OR ENTITY CLAIMING THROUGH YOU, EXCEEDS THE FINANCIAL AMOUNT ACTUALLY PAID BY YOU TO HOWUTRADE FOR THE CODE.</t>
    </r>
  </si>
  <si>
    <t>Net Qty</t>
  </si>
  <si>
    <t>Yearly High</t>
  </si>
  <si>
    <t>Yearly Low</t>
  </si>
  <si>
    <t>DASHBOARD</t>
  </si>
  <si>
    <t>SYMBOL DETAILS</t>
  </si>
  <si>
    <t>Trade Value (EQ)</t>
  </si>
  <si>
    <t>No of Lots (FUT)</t>
  </si>
  <si>
    <t>Trade Begin Time</t>
  </si>
  <si>
    <t>Trade End Time</t>
  </si>
  <si>
    <t>Trade SqOff Time</t>
  </si>
  <si>
    <t>Max Profit</t>
  </si>
  <si>
    <t>Max Loss</t>
  </si>
  <si>
    <t>Target %</t>
  </si>
  <si>
    <t>Stoploss %</t>
  </si>
  <si>
    <t>Trail %</t>
  </si>
  <si>
    <t>StopOn TgtHit</t>
  </si>
  <si>
    <t>StopOn SLHit</t>
  </si>
  <si>
    <t>STGY DETAILS</t>
  </si>
  <si>
    <t>Stgy Code</t>
  </si>
  <si>
    <t>Max Profit All</t>
  </si>
  <si>
    <t>Max Loss All</t>
  </si>
  <si>
    <t>AUTO TRADE</t>
  </si>
  <si>
    <t>Total Positions</t>
  </si>
  <si>
    <t>Open Positions</t>
  </si>
  <si>
    <t>Closed Positions</t>
  </si>
  <si>
    <t>Gross MTM</t>
  </si>
  <si>
    <t>VARIABLES</t>
  </si>
  <si>
    <t>System Time</t>
  </si>
  <si>
    <t>Excel Open Time</t>
  </si>
  <si>
    <t>Excel Open Date</t>
  </si>
  <si>
    <t>NO</t>
  </si>
  <si>
    <t>Max Positions</t>
  </si>
  <si>
    <t>A1</t>
  </si>
  <si>
    <t>Enable</t>
  </si>
  <si>
    <t>SYMBOL</t>
  </si>
  <si>
    <t>QUOTES</t>
  </si>
  <si>
    <t>Max Entry</t>
  </si>
  <si>
    <t>STGY VARIABLES</t>
  </si>
  <si>
    <t>Var 1</t>
  </si>
  <si>
    <t>Var 2</t>
  </si>
  <si>
    <t>Var 3</t>
  </si>
  <si>
    <t>Last Update Time</t>
  </si>
  <si>
    <t>Avg Buy Price</t>
  </si>
  <si>
    <t>Bought Qty</t>
  </si>
  <si>
    <t>Avg Sold Price</t>
  </si>
  <si>
    <t>Sold Qty</t>
  </si>
  <si>
    <t>Mkt Depth</t>
  </si>
  <si>
    <t>Ltp</t>
  </si>
  <si>
    <t>Mtm</t>
  </si>
  <si>
    <t>BRIDGE</t>
  </si>
  <si>
    <t>TradeSymbol</t>
  </si>
  <si>
    <t>SubQuotes</t>
  </si>
  <si>
    <t>%Chg</t>
  </si>
  <si>
    <t>NetChg</t>
  </si>
  <si>
    <t>PrevClose</t>
  </si>
  <si>
    <t>NetQty</t>
  </si>
  <si>
    <t>BoughtQty</t>
  </si>
  <si>
    <t>BoughtPrice</t>
  </si>
  <si>
    <t>SoldQty</t>
  </si>
  <si>
    <t>SoldPrice</t>
  </si>
  <si>
    <t>lupin</t>
  </si>
  <si>
    <t>STGY_CODE</t>
  </si>
  <si>
    <t>Bridge Logs</t>
  </si>
  <si>
    <t>TIME</t>
  </si>
  <si>
    <t>SOURCE</t>
  </si>
  <si>
    <t>TIMESTAMP</t>
  </si>
  <si>
    <t>EXCH</t>
  </si>
  <si>
    <t>TRADE_SYMBOL</t>
  </si>
  <si>
    <t>SIGNAL_TYPE</t>
  </si>
  <si>
    <t>QTY</t>
  </si>
  <si>
    <t>ORDER_TYPE</t>
  </si>
  <si>
    <t>PROD_TYPE</t>
  </si>
  <si>
    <t>LMT_PRICE</t>
  </si>
  <si>
    <t>TRG_PRICE</t>
  </si>
  <si>
    <t>VALIDITY</t>
  </si>
  <si>
    <t>DISCQTY</t>
  </si>
  <si>
    <t>CTAG</t>
  </si>
  <si>
    <t>ISLIVE</t>
  </si>
  <si>
    <t>ISASYNC</t>
  </si>
  <si>
    <t>TGT_POINTS</t>
  </si>
  <si>
    <t>SL_POINTS</t>
  </si>
  <si>
    <t>TRAILTICKS</t>
  </si>
  <si>
    <t>SL_PRICE</t>
  </si>
  <si>
    <t>TAG</t>
  </si>
  <si>
    <t>ORDERID</t>
  </si>
  <si>
    <t>PARENTID</t>
  </si>
  <si>
    <t>INST_TOKEN</t>
  </si>
  <si>
    <t>EXCH_TOKEN</t>
  </si>
  <si>
    <t>RESPONSE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</si>
</sst>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numFmts>
  <fonts count="6" x14ac:knownFonts="1">
    <font>
      <sz val="11"/>
      <color theme="1"/>
      <name val="Calibri"/>
      <family val="2"/>
      <scheme val="minor"/>
    </font>
    <font>
      <sz val="11"/>
      <color theme="1" tint="0.249977111117893"/>
      <name val="Cambria"/>
      <family val="1"/>
      <scheme val="major"/>
    </font>
    <font>
      <b/>
      <sz val="11"/>
      <color theme="1" tint="0.249977111117893"/>
      <name val="Cambria"/>
      <family val="1"/>
      <scheme val="major"/>
    </font>
    <font>
      <sz val="11"/>
      <color theme="7" tint="-0.499984740745262"/>
      <name val="Cambria"/>
      <family val="1"/>
      <scheme val="major"/>
    </font>
    <font>
      <sz val="10"/>
      <name val="Arial"/>
      <family val="2"/>
    </font>
    <font>
      <sz val="11"/>
      <color theme="0"/>
      <name val="Cambria"/>
      <family val="1"/>
      <scheme val="major"/>
    </font>
  </fonts>
  <fills count="11">
    <fill>
      <patternFill patternType="none"/>
    </fill>
    <fill>
      <patternFill patternType="gray125"/>
    </fill>
    <fill>
      <patternFill patternType="solid">
        <fgColor rgb="FFFFFF99"/>
        <bgColor indexed="64"/>
      </patternFill>
    </fill>
    <fill>
      <patternFill patternType="solid">
        <fgColor theme="8" tint="0.79998168889431442"/>
        <bgColor indexed="64"/>
      </patternFill>
    </fill>
    <fill>
      <gradientFill degree="90">
        <stop position="0">
          <color theme="0" tint="-0.34900967436750391"/>
        </stop>
        <stop position="1">
          <color theme="0" tint="-0.1490218817712943"/>
        </stop>
      </gradientFill>
    </fill>
    <fill>
      <gradientFill degree="90">
        <stop position="0">
          <color theme="8" tint="-0.25098422193060094"/>
        </stop>
        <stop position="1">
          <color theme="8" tint="0.59999389629810485"/>
        </stop>
      </gradientFill>
    </fill>
    <fill>
      <gradientFill degree="90">
        <stop position="0">
          <color theme="9" tint="-0.25098422193060094"/>
        </stop>
        <stop position="1">
          <color theme="9" tint="0.59999389629810485"/>
        </stop>
      </gradientFill>
    </fill>
    <fill>
      <gradientFill degree="90">
        <stop position="0">
          <color theme="7" tint="-0.25098422193060094"/>
        </stop>
        <stop position="1">
          <color theme="7" tint="0.59999389629810485"/>
        </stop>
      </gradientFill>
    </fill>
    <fill>
      <gradientFill degree="90">
        <stop position="0">
          <color theme="6" tint="-0.25098422193060094"/>
        </stop>
        <stop position="1">
          <color theme="6" tint="0.59999389629810485"/>
        </stop>
      </gradientFill>
    </fill>
    <fill>
      <gradientFill degree="90">
        <stop position="0">
          <color theme="5" tint="-0.25098422193060094"/>
        </stop>
        <stop position="1">
          <color theme="5" tint="0.59999389629810485"/>
        </stop>
      </gradientFill>
    </fill>
    <fill>
      <gradientFill degree="90">
        <stop position="0">
          <color theme="4" tint="-0.25098422193060094"/>
        </stop>
        <stop position="1">
          <color theme="4" tint="0.59999389629810485"/>
        </stop>
      </gradientFill>
    </fill>
  </fills>
  <borders count="1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s>
  <cellStyleXfs count="2">
    <xf numFmtId="0" fontId="0" fillId="0" borderId="0"/>
    <xf numFmtId="0" fontId="4" fillId="0" borderId="0">
      <alignment vertical="center"/>
    </xf>
  </cellStyleXfs>
  <cellXfs count="54">
    <xf numFmtId="0" fontId="0" fillId="0" borderId="0" xfId="0"/>
    <xf numFmtId="0" fontId="1" fillId="0" borderId="0" xfId="0" applyFont="1" applyAlignment="1">
      <alignment vertical="center"/>
    </xf>
    <xf numFmtId="0" fontId="1" fillId="0" borderId="1" xfId="0" applyNumberFormat="1" applyFont="1" applyBorder="1" applyAlignment="1" applyProtection="1">
      <alignment horizontal="center" vertical="center"/>
    </xf>
    <xf numFmtId="0" fontId="1" fillId="0" borderId="1" xfId="0" applyNumberFormat="1" applyFont="1" applyBorder="1" applyAlignment="1">
      <alignment vertical="center"/>
    </xf>
    <xf numFmtId="0" fontId="1" fillId="0" borderId="0" xfId="0" applyFont="1"/>
    <xf numFmtId="0" fontId="1" fillId="0" borderId="0" xfId="0" applyFont="1" applyAlignment="1">
      <alignment wrapText="1"/>
    </xf>
    <xf numFmtId="0" fontId="1" fillId="0" borderId="0" xfId="0" applyFont="1" applyAlignment="1"/>
    <xf numFmtId="0" fontId="1" fillId="0" borderId="7" xfId="0" applyFont="1" applyBorder="1" applyAlignment="1"/>
    <xf numFmtId="0" fontId="1" fillId="0" borderId="8" xfId="0" applyFont="1" applyBorder="1" applyAlignment="1"/>
    <xf numFmtId="0" fontId="1" fillId="2" borderId="1" xfId="0" applyFont="1" applyFill="1" applyBorder="1" applyAlignment="1" applyProtection="1">
      <alignment vertical="center"/>
      <protection locked="0"/>
    </xf>
    <xf numFmtId="0" fontId="1" fillId="0" borderId="1" xfId="0" applyFont="1" applyBorder="1" applyAlignment="1" applyProtection="1">
      <alignment horizontal="center" vertical="center"/>
    </xf>
    <xf numFmtId="2" fontId="1" fillId="0" borderId="1" xfId="0" applyNumberFormat="1" applyFont="1" applyBorder="1" applyAlignment="1" applyProtection="1">
      <alignment vertical="center"/>
    </xf>
    <xf numFmtId="1" fontId="1" fillId="0" borderId="1" xfId="0" applyNumberFormat="1" applyFont="1" applyBorder="1" applyAlignment="1" applyProtection="1">
      <alignment vertical="center"/>
    </xf>
    <xf numFmtId="21" fontId="1" fillId="0" borderId="1" xfId="0" applyNumberFormat="1" applyFont="1" applyBorder="1" applyAlignment="1" applyProtection="1">
      <alignment vertical="center"/>
    </xf>
    <xf numFmtId="0" fontId="1" fillId="0" borderId="1" xfId="0" applyFont="1" applyBorder="1" applyAlignment="1" applyProtection="1">
      <alignment vertical="center"/>
    </xf>
    <xf numFmtId="0" fontId="1" fillId="0" borderId="0" xfId="0" applyFont="1" applyAlignment="1" applyProtection="1">
      <alignment vertical="center"/>
    </xf>
    <xf numFmtId="0" fontId="3" fillId="4" borderId="1" xfId="0" applyNumberFormat="1" applyFont="1" applyFill="1" applyBorder="1" applyAlignment="1">
      <alignment horizontal="center" vertical="center"/>
    </xf>
    <xf numFmtId="0" fontId="1" fillId="6" borderId="1" xfId="0" applyFont="1" applyFill="1" applyBorder="1" applyAlignment="1">
      <alignment horizontal="center" vertical="center"/>
    </xf>
    <xf numFmtId="0" fontId="2" fillId="6" borderId="0" xfId="0" applyFont="1" applyFill="1" applyAlignment="1">
      <alignment horizontal="center" vertical="center"/>
    </xf>
    <xf numFmtId="0" fontId="1" fillId="2" borderId="1" xfId="0" applyFont="1" applyFill="1" applyBorder="1" applyAlignment="1" applyProtection="1">
      <alignment horizontal="right" vertical="center"/>
      <protection locked="0"/>
    </xf>
    <xf numFmtId="21" fontId="1" fillId="2" borderId="1" xfId="0" applyNumberFormat="1" applyFont="1" applyFill="1" applyBorder="1" applyAlignment="1" applyProtection="1">
      <alignment horizontal="right" vertical="center"/>
      <protection locked="0"/>
    </xf>
    <xf numFmtId="0" fontId="1" fillId="2" borderId="4" xfId="0" applyFont="1" applyFill="1" applyBorder="1" applyAlignment="1" applyProtection="1">
      <alignment horizontal="right" vertical="center"/>
      <protection locked="0"/>
    </xf>
    <xf numFmtId="0" fontId="5" fillId="0" borderId="0" xfId="0" applyFont="1" applyAlignment="1">
      <alignment horizontal="center" vertical="center"/>
    </xf>
    <xf numFmtId="0" fontId="1" fillId="0" borderId="0" xfId="0" applyFont="1" applyAlignment="1">
      <alignment horizontal="center" vertical="center"/>
    </xf>
    <xf numFmtId="0" fontId="1" fillId="2" borderId="1" xfId="0" applyFont="1" applyFill="1" applyBorder="1" applyAlignment="1" applyProtection="1">
      <alignment horizontal="left" vertical="center"/>
      <protection locked="0"/>
    </xf>
    <xf numFmtId="0" fontId="1" fillId="4" borderId="1" xfId="0" applyFont="1" applyFill="1" applyBorder="1" applyAlignment="1">
      <alignment horizontal="center" vertical="center"/>
    </xf>
    <xf numFmtId="0" fontId="1" fillId="0" borderId="1" xfId="0" applyFont="1" applyBorder="1" applyAlignment="1">
      <alignment horizontal="left" vertical="center"/>
    </xf>
    <xf numFmtId="0" fontId="1" fillId="0" borderId="2"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1" xfId="0" applyNumberFormat="1"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wrapText="1"/>
    </xf>
    <xf numFmtId="0" fontId="1" fillId="0" borderId="0" xfId="0" applyFont="1" applyAlignment="1" applyProtection="1">
      <alignment horizontal="center" vertical="center" wrapText="1"/>
    </xf>
    <xf numFmtId="0" fontId="1" fillId="5"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left" vertical="center"/>
    </xf>
    <xf numFmtId="0" fontId="1" fillId="0" borderId="1" xfId="0" applyFont="1" applyBorder="1" applyAlignment="1">
      <alignment horizontal="right" vertical="center"/>
    </xf>
    <xf numFmtId="21" fontId="1" fillId="0" borderId="1" xfId="0" applyNumberFormat="1" applyFont="1" applyBorder="1" applyAlignment="1">
      <alignment horizontal="right" vertical="center"/>
    </xf>
    <xf numFmtId="164" fontId="1" fillId="0" borderId="1" xfId="0" applyNumberFormat="1" applyFont="1" applyBorder="1" applyAlignment="1">
      <alignment horizontal="right" vertical="center"/>
    </xf>
    <xf numFmtId="0" fontId="1" fillId="5" borderId="8" xfId="0" applyFont="1" applyFill="1" applyBorder="1" applyAlignment="1">
      <alignment horizontal="center" vertical="center"/>
    </xf>
    <xf numFmtId="0" fontId="1" fillId="5" borderId="0" xfId="0" applyFont="1" applyFill="1" applyAlignment="1">
      <alignment horizontal="center" vertical="center"/>
    </xf>
    <xf numFmtId="0" fontId="1" fillId="9" borderId="9" xfId="0" applyFont="1" applyFill="1" applyBorder="1" applyAlignment="1">
      <alignment horizontal="center" vertical="center"/>
    </xf>
    <xf numFmtId="0" fontId="1" fillId="9" borderId="10" xfId="0" applyFont="1" applyFill="1" applyBorder="1" applyAlignment="1">
      <alignment horizontal="center" vertical="center"/>
    </xf>
    <xf numFmtId="0" fontId="1" fillId="6" borderId="1" xfId="0" applyFont="1" applyFill="1" applyBorder="1" applyAlignment="1">
      <alignment horizontal="center" vertical="center"/>
    </xf>
    <xf numFmtId="0" fontId="1" fillId="10" borderId="1" xfId="0" applyFont="1" applyFill="1" applyBorder="1" applyAlignment="1">
      <alignment horizontal="center" vertical="center"/>
    </xf>
    <xf numFmtId="0" fontId="1" fillId="8" borderId="1"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1" fillId="9" borderId="1" xfId="0" applyFont="1" applyFill="1" applyBorder="1" applyAlignment="1">
      <alignment horizontal="center" vertical="center"/>
    </xf>
    <xf numFmtId="0" fontId="1" fillId="3" borderId="2" xfId="0" applyFont="1" applyFill="1" applyBorder="1" applyAlignment="1">
      <alignment horizontal="left" vertical="top" wrapText="1"/>
    </xf>
    <xf numFmtId="0" fontId="1" fillId="3" borderId="3" xfId="0" applyFont="1" applyFill="1" applyBorder="1" applyAlignment="1">
      <alignment horizontal="left" vertical="top" wrapText="1"/>
    </xf>
    <xf numFmtId="0" fontId="1" fillId="3" borderId="4" xfId="0" applyFont="1" applyFill="1" applyBorder="1" applyAlignment="1">
      <alignment horizontal="left" vertical="top" wrapText="1"/>
    </xf>
  </cellXfs>
  <cellStyles count="2">
    <cellStyle name="Normal" xfId="0" builtinId="0"/>
    <cellStyle name="Normal 2" xfId="1"/>
  </cellStyles>
  <dxfs count="7">
    <dxf>
      <fill>
        <gradientFill degree="90">
          <stop position="0">
            <color theme="8" tint="-0.25098422193060094"/>
          </stop>
          <stop position="1">
            <color theme="8" tint="0.59999389629810485"/>
          </stop>
        </gradientFill>
      </fill>
    </dxf>
    <dxf>
      <fill>
        <patternFill>
          <bgColor rgb="FF3FFF96"/>
        </patternFill>
      </fill>
    </dxf>
    <dxf>
      <fill>
        <patternFill>
          <bgColor rgb="FFFF8181"/>
        </patternFill>
      </fill>
    </dxf>
    <dxf>
      <fill>
        <gradientFill degree="90">
          <stop position="0">
            <color theme="7" tint="-0.25098422193060094"/>
          </stop>
          <stop position="1">
            <color theme="7" tint="0.59999389629810485"/>
          </stop>
        </gradientFill>
      </fill>
    </dxf>
    <dxf>
      <fill>
        <gradientFill degree="90">
          <stop position="0">
            <color theme="8" tint="-0.25098422193060094"/>
          </stop>
          <stop position="1">
            <color theme="8" tint="0.59999389629810485"/>
          </stop>
        </gradientFill>
      </fill>
    </dxf>
    <dxf>
      <fill>
        <gradientFill degree="90">
          <stop position="0">
            <color theme="9" tint="-0.25098422193060094"/>
          </stop>
          <stop position="1">
            <color theme="9" tint="0.59999389629810485"/>
          </stop>
        </gradientFill>
      </fill>
    </dxf>
    <dxf>
      <fill>
        <gradientFill degree="90">
          <stop position="0">
            <color theme="6" tint="-0.25098422193060094"/>
          </stop>
          <stop position="1">
            <color theme="6" tint="0.59999389629810485"/>
          </stop>
        </gradientFill>
      </fill>
    </dxf>
  </dxfs>
  <tableStyles count="0" defaultTableStyle="TableStyleMedium9" defaultPivotStyle="PivotStyleLight16"/>
  <colors>
    <mruColors>
      <color rgb="FFFFFF99"/>
      <color rgb="FFFF8181"/>
      <color rgb="FF3FFF96"/>
      <color rgb="FF0000FF"/>
      <color rgb="FFFFAA8F"/>
      <color rgb="FFCC3300"/>
      <color rgb="FFFF33CC"/>
      <color rgb="FFD60093"/>
      <color rgb="FFCC0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upstox.rtd">
      <tp>
        <v>0</v>
        <stp/>
        <stp>lupin.NSE_EQ</stp>
        <stp>TOTALBUYQTY</stp>
        <tr r="T2" s="11"/>
      </tp>
      <tp>
        <v>792.5</v>
        <stp/>
        <stp>lupin.NSE_EQ</stp>
        <stp>LOW</stp>
        <tr r="X2" s="11"/>
      </tp>
      <tp>
        <v>43301.664560185185</v>
        <stp/>
        <stp>lupin.NSE_EQ</stp>
        <stp>LTT</stp>
        <tr r="AF2" s="11"/>
      </tp>
      <tp>
        <v>43301.66646990741</v>
        <stp/>
        <stp>lupin.NSE_EQ</stp>
        <stp>LUT</stp>
        <tr r="AE2" s="11"/>
      </tp>
      <tp>
        <v>794.55</v>
        <stp/>
        <stp>lupin.NSE_EQ</stp>
        <stp>CLOSE</stp>
        <tr r="Y2" s="11"/>
        <tr r="K3" s="12"/>
      </tp>
      <tp>
        <v>0</v>
        <stp/>
        <stp>lupin.NSE_EQ</stp>
        <stp>MTM</stp>
        <tr r="H2" s="11"/>
      </tp>
      <tp>
        <v>800.65</v>
        <stp/>
        <stp>lupin.NSE_EQ</stp>
        <stp>ASK</stp>
        <tr r="P2" s="11"/>
      </tp>
      <tp>
        <v>0</v>
        <stp/>
        <stp>lupin.NSE_EQ</stp>
        <stp>BID</stp>
        <tr r="N2" s="11"/>
      </tp>
      <tp>
        <v>715.1</v>
        <stp/>
        <stp>lupin.NSE_EQ</stp>
        <stp>LOWERCKT</stp>
        <tr r="AA2" s="11"/>
      </tp>
      <tp>
        <v>0</v>
        <stp/>
        <stp>lupin.NSE_EQ</stp>
        <stp>OI</stp>
        <tr r="Z2" s="11"/>
      </tp>
      <tp>
        <v>0</v>
        <stp/>
        <stp>lupin.NSE_EQ</stp>
        <stp>LASTSIZE</stp>
        <tr r="M2" s="11"/>
      </tp>
      <tp>
        <v>874</v>
        <stp/>
        <stp>lupin.NSE_EQ</stp>
        <stp>UPPERCKT</stp>
        <tr r="AB2" s="11"/>
      </tp>
      <tp>
        <v>1177.45</v>
        <stp/>
        <stp>lupin.NSE_EQ</stp>
        <stp>YEARLYHIGH</stp>
        <tr r="AC2" s="11"/>
      </tp>
      <tp>
        <v>800.08</v>
        <stp/>
        <stp>lupin.NSE_EQ</stp>
        <stp>AVGPRICE</stp>
        <tr r="R2" s="11"/>
      </tp>
      <tp>
        <v>1666</v>
        <stp/>
        <stp>lupin.NSE_EQ</stp>
        <stp>ASKSIZE</stp>
        <tr r="Q2" s="11"/>
      </tp>
      <tp>
        <v>0</v>
        <stp/>
        <stp>lupin.NSE_EQ</stp>
        <stp>BIDSIZE</stp>
        <tr r="O2" s="11"/>
      </tp>
      <tp>
        <v>0</v>
        <stp/>
        <stp>lupin.NSE_EQ</stp>
        <stp>AVGBOUGHTPRICE</stp>
        <tr r="I2" s="11"/>
      </tp>
      <tp>
        <v>723.65</v>
        <stp/>
        <stp>lupin.NSE_EQ</stp>
        <stp>YEARLYLOW</stp>
        <tr r="AD2" s="11"/>
      </tp>
      <tp>
        <v>800.65</v>
        <stp/>
        <stp>lupin.NSE_EQ</stp>
        <stp>LAST</stp>
        <tr r="D2" s="11"/>
        <tr r="H3" s="12"/>
      </tp>
      <tp>
        <v>0</v>
        <stp/>
        <stp>lupin.NSE_EQ</stp>
        <stp>SOLDQTY</stp>
        <tr r="L2" s="11"/>
      </tp>
      <tp>
        <v>1666</v>
        <stp/>
        <stp>lupin.NSE_EQ</stp>
        <stp>TOTALSELLQTY</stp>
        <tr r="U2" s="11"/>
      </tp>
      <tp>
        <v>6.1</v>
        <stp/>
        <stp>lupin.NSE_EQ</stp>
        <stp>NETCHG</stp>
        <tr r="F2" s="11"/>
        <tr r="J3" s="12"/>
      </tp>
      <tp>
        <v>0.77</v>
        <stp/>
        <stp>lupin.NSE_EQ</stp>
        <stp>PCTCHG</stp>
        <tr r="E2" s="11"/>
        <tr r="I3" s="12"/>
      </tp>
      <tp>
        <v>802.4</v>
        <stp/>
        <stp>lupin.NSE_EQ</stp>
        <stp>HIGH</stp>
        <tr r="W2" s="11"/>
      </tp>
      <tp>
        <v>0</v>
        <stp/>
        <stp>lupin.NSE_EQ</stp>
        <stp>BOUGHTQTY</stp>
        <tr r="J2" s="11"/>
      </tp>
      <tp>
        <v>0</v>
        <stp/>
        <stp>lupin.NSE_EQ</stp>
        <stp>AVGSOLDPRICE</stp>
        <tr r="K2" s="11"/>
      </tp>
      <tp>
        <v>0</v>
        <stp/>
        <stp>lupin.NSE_EQ</stp>
        <stp>SPOT</stp>
        <tr r="AG2" s="11"/>
      </tp>
      <tp>
        <v>798.95</v>
        <stp/>
        <stp>lupin.NSE_EQ</stp>
        <stp>OPEN</stp>
        <tr r="V2" s="11"/>
      </tp>
      <tp>
        <v>3233608</v>
        <stp/>
        <stp>lupin.NSE_EQ</stp>
        <stp>VOLUME</stp>
        <tr r="S2" s="11"/>
      </tp>
      <tp>
        <v>0</v>
        <stp/>
        <stp>lupin.NSE_EQ</stp>
        <stp>NETQTY</stp>
        <tr r="G2" s="11"/>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3.emf"/><Relationship Id="rId18" Type="http://schemas.openxmlformats.org/officeDocument/2006/relationships/image" Target="../media/image18.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4.emf"/><Relationship Id="rId17" Type="http://schemas.openxmlformats.org/officeDocument/2006/relationships/image" Target="../media/image17.emf"/><Relationship Id="rId2" Type="http://schemas.openxmlformats.org/officeDocument/2006/relationships/image" Target="../media/image14.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5" Type="http://schemas.openxmlformats.org/officeDocument/2006/relationships/image" Target="../media/image1.emf"/><Relationship Id="rId10" Type="http://schemas.openxmlformats.org/officeDocument/2006/relationships/image" Target="../media/image6.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7.emf"/><Relationship Id="rId1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1419225</xdr:colOff>
          <xdr:row>1</xdr:row>
          <xdr:rowOff>47625</xdr:rowOff>
        </xdr:from>
        <xdr:to>
          <xdr:col>1</xdr:col>
          <xdr:colOff>2667000</xdr:colOff>
          <xdr:row>2</xdr:row>
          <xdr:rowOff>142875</xdr:rowOff>
        </xdr:to>
        <xdr:sp macro="" textlink="">
          <xdr:nvSpPr>
            <xdr:cNvPr id="2051" name="LogoutButton"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7</xdr:row>
          <xdr:rowOff>19050</xdr:rowOff>
        </xdr:from>
        <xdr:to>
          <xdr:col>1</xdr:col>
          <xdr:colOff>2657475</xdr:colOff>
          <xdr:row>8</xdr:row>
          <xdr:rowOff>114300</xdr:rowOff>
        </xdr:to>
        <xdr:sp macro="" textlink="">
          <xdr:nvSpPr>
            <xdr:cNvPr id="2052" name="HoldingsButton"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5</xdr:row>
          <xdr:rowOff>28575</xdr:rowOff>
        </xdr:from>
        <xdr:to>
          <xdr:col>1</xdr:col>
          <xdr:colOff>2657475</xdr:colOff>
          <xdr:row>6</xdr:row>
          <xdr:rowOff>123825</xdr:rowOff>
        </xdr:to>
        <xdr:sp macro="" textlink="">
          <xdr:nvSpPr>
            <xdr:cNvPr id="2053" name="TradeBookButton"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5</xdr:row>
          <xdr:rowOff>38100</xdr:rowOff>
        </xdr:from>
        <xdr:to>
          <xdr:col>1</xdr:col>
          <xdr:colOff>1295400</xdr:colOff>
          <xdr:row>6</xdr:row>
          <xdr:rowOff>133350</xdr:rowOff>
        </xdr:to>
        <xdr:sp macro="" textlink="">
          <xdr:nvSpPr>
            <xdr:cNvPr id="2054" name="OrderBookButton"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7</xdr:row>
          <xdr:rowOff>28575</xdr:rowOff>
        </xdr:from>
        <xdr:to>
          <xdr:col>1</xdr:col>
          <xdr:colOff>1295400</xdr:colOff>
          <xdr:row>8</xdr:row>
          <xdr:rowOff>123825</xdr:rowOff>
        </xdr:to>
        <xdr:sp macro="" textlink="">
          <xdr:nvSpPr>
            <xdr:cNvPr id="2055" name="PositionsButton"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9</xdr:row>
          <xdr:rowOff>19050</xdr:rowOff>
        </xdr:from>
        <xdr:to>
          <xdr:col>1</xdr:col>
          <xdr:colOff>1295400</xdr:colOff>
          <xdr:row>10</xdr:row>
          <xdr:rowOff>114300</xdr:rowOff>
        </xdr:to>
        <xdr:sp macro="" textlink="">
          <xdr:nvSpPr>
            <xdr:cNvPr id="2056" name="FundsButton"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11</xdr:row>
          <xdr:rowOff>0</xdr:rowOff>
        </xdr:from>
        <xdr:to>
          <xdr:col>1</xdr:col>
          <xdr:colOff>2657475</xdr:colOff>
          <xdr:row>12</xdr:row>
          <xdr:rowOff>95250</xdr:rowOff>
        </xdr:to>
        <xdr:sp macro="" textlink="">
          <xdr:nvSpPr>
            <xdr:cNvPr id="2057" name="SymbolStatusButton"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14</xdr:row>
          <xdr:rowOff>161925</xdr:rowOff>
        </xdr:from>
        <xdr:to>
          <xdr:col>1</xdr:col>
          <xdr:colOff>2657475</xdr:colOff>
          <xdr:row>16</xdr:row>
          <xdr:rowOff>76200</xdr:rowOff>
        </xdr:to>
        <xdr:sp macro="" textlink="">
          <xdr:nvSpPr>
            <xdr:cNvPr id="2058" name="SettingsButton"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xdr:row>
          <xdr:rowOff>57150</xdr:rowOff>
        </xdr:from>
        <xdr:to>
          <xdr:col>1</xdr:col>
          <xdr:colOff>1295400</xdr:colOff>
          <xdr:row>2</xdr:row>
          <xdr:rowOff>152400</xdr:rowOff>
        </xdr:to>
        <xdr:sp macro="" textlink="">
          <xdr:nvSpPr>
            <xdr:cNvPr id="2059" name="LoginButton"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13</xdr:row>
          <xdr:rowOff>0</xdr:rowOff>
        </xdr:from>
        <xdr:to>
          <xdr:col>1</xdr:col>
          <xdr:colOff>1295400</xdr:colOff>
          <xdr:row>14</xdr:row>
          <xdr:rowOff>95250</xdr:rowOff>
        </xdr:to>
        <xdr:sp macro="" textlink="">
          <xdr:nvSpPr>
            <xdr:cNvPr id="2060" name="PlaceOrderButton"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xdr:row>
          <xdr:rowOff>47625</xdr:rowOff>
        </xdr:from>
        <xdr:to>
          <xdr:col>1</xdr:col>
          <xdr:colOff>1295400</xdr:colOff>
          <xdr:row>4</xdr:row>
          <xdr:rowOff>142875</xdr:rowOff>
        </xdr:to>
        <xdr:sp macro="" textlink="">
          <xdr:nvSpPr>
            <xdr:cNvPr id="2061" name="LoginManualButton"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9</xdr:row>
          <xdr:rowOff>9525</xdr:rowOff>
        </xdr:from>
        <xdr:to>
          <xdr:col>1</xdr:col>
          <xdr:colOff>2657475</xdr:colOff>
          <xdr:row>10</xdr:row>
          <xdr:rowOff>104775</xdr:rowOff>
        </xdr:to>
        <xdr:sp macro="" textlink="">
          <xdr:nvSpPr>
            <xdr:cNvPr id="2062" name="BatchOrderButton"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1419225</xdr:colOff>
          <xdr:row>3</xdr:row>
          <xdr:rowOff>38100</xdr:rowOff>
        </xdr:from>
        <xdr:to>
          <xdr:col>1</xdr:col>
          <xdr:colOff>2667000</xdr:colOff>
          <xdr:row>4</xdr:row>
          <xdr:rowOff>133350</xdr:rowOff>
        </xdr:to>
        <xdr:sp macro="" textlink="">
          <xdr:nvSpPr>
            <xdr:cNvPr id="2063" name="TokenManual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1419225</xdr:colOff>
          <xdr:row>12</xdr:row>
          <xdr:rowOff>171450</xdr:rowOff>
        </xdr:from>
        <xdr:to>
          <xdr:col>1</xdr:col>
          <xdr:colOff>2667000</xdr:colOff>
          <xdr:row>14</xdr:row>
          <xdr:rowOff>85725</xdr:rowOff>
        </xdr:to>
        <xdr:sp macro="" textlink="">
          <xdr:nvSpPr>
            <xdr:cNvPr id="2064" name="ModifyOrderButton"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11</xdr:row>
          <xdr:rowOff>19050</xdr:rowOff>
        </xdr:from>
        <xdr:to>
          <xdr:col>1</xdr:col>
          <xdr:colOff>1295400</xdr:colOff>
          <xdr:row>12</xdr:row>
          <xdr:rowOff>114300</xdr:rowOff>
        </xdr:to>
        <xdr:sp macro="" textlink="">
          <xdr:nvSpPr>
            <xdr:cNvPr id="2065" name="CheckLatency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171450</xdr:rowOff>
        </xdr:from>
        <xdr:to>
          <xdr:col>1</xdr:col>
          <xdr:colOff>1295400</xdr:colOff>
          <xdr:row>16</xdr:row>
          <xdr:rowOff>85725</xdr:rowOff>
        </xdr:to>
        <xdr:sp macro="" textlink="">
          <xdr:nvSpPr>
            <xdr:cNvPr id="2066" name="HistData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20</xdr:row>
          <xdr:rowOff>95250</xdr:rowOff>
        </xdr:from>
        <xdr:to>
          <xdr:col>1</xdr:col>
          <xdr:colOff>1304925</xdr:colOff>
          <xdr:row>22</xdr:row>
          <xdr:rowOff>9525</xdr:rowOff>
        </xdr:to>
        <xdr:sp macro="" textlink="">
          <xdr:nvSpPr>
            <xdr:cNvPr id="2071" name="LogsButton"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85725</xdr:rowOff>
        </xdr:from>
        <xdr:to>
          <xdr:col>1</xdr:col>
          <xdr:colOff>1295400</xdr:colOff>
          <xdr:row>24</xdr:row>
          <xdr:rowOff>0</xdr:rowOff>
        </xdr:to>
        <xdr:sp macro="" textlink="">
          <xdr:nvSpPr>
            <xdr:cNvPr id="2072" name="BridgePositionsButton"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20</xdr:row>
          <xdr:rowOff>95250</xdr:rowOff>
        </xdr:from>
        <xdr:to>
          <xdr:col>1</xdr:col>
          <xdr:colOff>2657475</xdr:colOff>
          <xdr:row>22</xdr:row>
          <xdr:rowOff>9525</xdr:rowOff>
        </xdr:to>
        <xdr:sp macro="" textlink="">
          <xdr:nvSpPr>
            <xdr:cNvPr id="2073" name="OrderWindowButton"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22</xdr:row>
          <xdr:rowOff>95250</xdr:rowOff>
        </xdr:from>
        <xdr:to>
          <xdr:col>1</xdr:col>
          <xdr:colOff>2657475</xdr:colOff>
          <xdr:row>24</xdr:row>
          <xdr:rowOff>9525</xdr:rowOff>
        </xdr:to>
        <xdr:sp macro="" textlink="">
          <xdr:nvSpPr>
            <xdr:cNvPr id="2074" name="BridgePositionsAllButton"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500"/>
  <sheetViews>
    <sheetView showGridLines="0" tabSelected="1" topLeftCell="B1" workbookViewId="0">
      <selection activeCell="D3" sqref="D3"/>
    </sheetView>
  </sheetViews>
  <sheetFormatPr defaultColWidth="0" defaultRowHeight="14.25" zeroHeight="1" x14ac:dyDescent="0.25"/>
  <cols>
    <col min="1" max="1" width="1.7109375" style="1" customWidth="1"/>
    <col min="2" max="2" width="40.5703125" style="1" customWidth="1"/>
    <col min="3" max="3" width="1.7109375" style="1" customWidth="1"/>
    <col min="4" max="4" width="9.7109375" style="1" customWidth="1"/>
    <col min="5" max="26" width="9.140625" style="1" customWidth="1"/>
    <col min="27" max="27" width="11.140625" style="1" customWidth="1"/>
    <col min="28" max="28" width="10" style="1" customWidth="1"/>
    <col min="29" max="33" width="9.140625" style="1" customWidth="1"/>
    <col min="34" max="34" width="3.7109375" style="1" customWidth="1"/>
    <col min="35" max="16384" width="9.140625" style="1" hidden="1"/>
  </cols>
  <sheetData>
    <row r="1" spans="2:33" ht="15" customHeight="1" x14ac:dyDescent="0.25">
      <c r="B1" s="17" t="s">
        <v>1</v>
      </c>
      <c r="D1" s="39" t="s">
        <v>92</v>
      </c>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row>
    <row r="2" spans="2:33" x14ac:dyDescent="0.25">
      <c r="B2" s="27"/>
      <c r="D2" s="16" t="s">
        <v>0</v>
      </c>
      <c r="E2" s="16" t="s">
        <v>93</v>
      </c>
      <c r="F2" s="16" t="s">
        <v>0</v>
      </c>
      <c r="G2" s="16" t="s">
        <v>94</v>
      </c>
      <c r="H2" s="16" t="s">
        <v>95</v>
      </c>
      <c r="I2" s="16" t="s">
        <v>96</v>
      </c>
      <c r="J2" s="16" t="s">
        <v>97</v>
      </c>
      <c r="K2" s="16" t="s">
        <v>98</v>
      </c>
      <c r="L2" s="16" t="s">
        <v>99</v>
      </c>
      <c r="M2" s="16" t="s">
        <v>100</v>
      </c>
      <c r="N2" s="16" t="s">
        <v>101</v>
      </c>
      <c r="O2" s="16" t="s">
        <v>102</v>
      </c>
      <c r="P2" s="16" t="s">
        <v>103</v>
      </c>
      <c r="Q2" s="16" t="s">
        <v>104</v>
      </c>
      <c r="R2" s="16" t="s">
        <v>105</v>
      </c>
      <c r="S2" s="16" t="s">
        <v>106</v>
      </c>
      <c r="T2" s="16" t="s">
        <v>91</v>
      </c>
      <c r="U2" s="16" t="s">
        <v>107</v>
      </c>
      <c r="V2" s="16" t="s">
        <v>108</v>
      </c>
      <c r="W2" s="16" t="s">
        <v>109</v>
      </c>
      <c r="X2" s="16" t="s">
        <v>110</v>
      </c>
      <c r="Y2" s="16" t="s">
        <v>111</v>
      </c>
      <c r="Z2" s="16" t="s">
        <v>112</v>
      </c>
      <c r="AA2" s="16" t="s">
        <v>113</v>
      </c>
      <c r="AB2" s="16" t="s">
        <v>114</v>
      </c>
      <c r="AC2" s="16" t="s">
        <v>115</v>
      </c>
      <c r="AD2" s="16" t="s">
        <v>116</v>
      </c>
      <c r="AE2" s="16" t="s">
        <v>117</v>
      </c>
      <c r="AF2" s="16" t="s">
        <v>118</v>
      </c>
      <c r="AG2" s="16"/>
    </row>
    <row r="3" spans="2:33" x14ac:dyDescent="0.25">
      <c r="B3" s="28"/>
      <c r="D3" s="2" t="str">
        <f>IF(E3="","",IF($D$1="ORDER BOOK",GetActionStrOrder(X3, H3, T3),IF($D$1="POSITIONS",GetActionStrPosition(F3, S3),"")))</f>
        <v/>
      </c>
      <c r="E3" s="3"/>
      <c r="F3" s="3"/>
      <c r="G3" s="3"/>
      <c r="H3" s="3"/>
      <c r="I3" s="3"/>
      <c r="J3" s="3"/>
      <c r="K3" s="3"/>
      <c r="L3" s="3"/>
      <c r="M3" s="3"/>
      <c r="N3" s="3"/>
      <c r="O3" s="3"/>
      <c r="P3" s="3"/>
      <c r="Q3" s="3"/>
      <c r="R3" s="3"/>
      <c r="S3" s="3"/>
      <c r="T3" s="3"/>
      <c r="U3" s="3"/>
      <c r="V3" s="3"/>
      <c r="W3" s="3"/>
      <c r="X3" s="3"/>
      <c r="Y3" s="3"/>
      <c r="Z3" s="3"/>
      <c r="AA3" s="3"/>
      <c r="AB3" s="3"/>
      <c r="AC3" s="3"/>
      <c r="AD3" s="3"/>
      <c r="AE3" s="3"/>
      <c r="AF3" s="3"/>
      <c r="AG3" s="3"/>
    </row>
    <row r="4" spans="2:33" x14ac:dyDescent="0.25">
      <c r="B4" s="28"/>
      <c r="D4" s="2" t="str">
        <f>IF(E4="","",IF($D$1="ORDER BOOK",GetActionStrOrder(X4, H4, T4),IF($D$1="POSITIONS",GetActionStrPosition(F4, S4),"")))</f>
        <v/>
      </c>
      <c r="E4" s="3"/>
      <c r="F4" s="3"/>
      <c r="G4" s="3"/>
      <c r="H4" s="3"/>
      <c r="I4" s="3"/>
      <c r="J4" s="3"/>
      <c r="K4" s="3"/>
      <c r="L4" s="3"/>
      <c r="M4" s="3"/>
      <c r="N4" s="3"/>
      <c r="O4" s="3"/>
      <c r="P4" s="3"/>
      <c r="Q4" s="3"/>
      <c r="R4" s="3"/>
      <c r="S4" s="3"/>
      <c r="T4" s="3"/>
      <c r="U4" s="3"/>
      <c r="V4" s="3"/>
      <c r="W4" s="3"/>
      <c r="X4" s="3"/>
      <c r="Y4" s="3"/>
      <c r="Z4" s="3"/>
      <c r="AA4" s="3"/>
      <c r="AB4" s="3"/>
      <c r="AC4" s="3"/>
      <c r="AD4" s="3"/>
      <c r="AE4" s="3"/>
      <c r="AF4" s="3"/>
      <c r="AG4" s="3"/>
    </row>
    <row r="5" spans="2:33" x14ac:dyDescent="0.25">
      <c r="B5" s="28"/>
      <c r="D5" s="2" t="str">
        <f>IF(E5="","",IF($D$1="ORDER BOOK",GetActionStrOrder(X5, H5, T5),IF($D$1="POSITIONS",GetActionStrPosition(F5, S5),"")))</f>
        <v/>
      </c>
      <c r="E5" s="3"/>
      <c r="F5" s="3"/>
      <c r="G5" s="3"/>
      <c r="H5" s="3"/>
      <c r="I5" s="3"/>
      <c r="J5" s="3"/>
      <c r="K5" s="3"/>
      <c r="L5" s="3"/>
      <c r="M5" s="3"/>
      <c r="N5" s="3"/>
      <c r="O5" s="3"/>
      <c r="P5" s="3"/>
      <c r="Q5" s="3"/>
      <c r="R5" s="3"/>
      <c r="S5" s="3"/>
      <c r="T5" s="3"/>
      <c r="U5" s="3"/>
      <c r="V5" s="3"/>
      <c r="W5" s="3"/>
      <c r="X5" s="3"/>
      <c r="Y5" s="3"/>
      <c r="Z5" s="3"/>
      <c r="AA5" s="3"/>
      <c r="AB5" s="3"/>
      <c r="AC5" s="3"/>
      <c r="AD5" s="3"/>
      <c r="AE5" s="3"/>
      <c r="AF5" s="3"/>
      <c r="AG5" s="3"/>
    </row>
    <row r="6" spans="2:33" x14ac:dyDescent="0.25">
      <c r="B6" s="28"/>
      <c r="D6" s="2" t="str">
        <f>IF(E6="","",IF($D$1="ORDER BOOK",GetActionStrOrder(X6, H6, T6),IF($D$1="POSITIONS",GetActionStrPosition(F6, S6),"")))</f>
        <v/>
      </c>
      <c r="E6" s="3"/>
      <c r="F6" s="3"/>
      <c r="G6" s="3"/>
      <c r="H6" s="3"/>
      <c r="I6" s="3"/>
      <c r="J6" s="3"/>
      <c r="K6" s="3"/>
      <c r="L6" s="3"/>
      <c r="M6" s="3"/>
      <c r="N6" s="3"/>
      <c r="O6" s="3"/>
      <c r="P6" s="3"/>
      <c r="Q6" s="3"/>
      <c r="R6" s="3"/>
      <c r="S6" s="3"/>
      <c r="T6" s="3"/>
      <c r="U6" s="3"/>
      <c r="V6" s="3"/>
      <c r="W6" s="3"/>
      <c r="X6" s="3"/>
      <c r="Y6" s="3"/>
      <c r="Z6" s="3"/>
      <c r="AA6" s="3"/>
      <c r="AB6" s="3"/>
      <c r="AC6" s="3"/>
      <c r="AD6" s="3"/>
      <c r="AE6" s="3"/>
      <c r="AF6" s="3"/>
      <c r="AG6" s="3"/>
    </row>
    <row r="7" spans="2:33" x14ac:dyDescent="0.25">
      <c r="B7" s="28"/>
      <c r="D7" s="2" t="str">
        <f>IF(E7="","",IF($D$1="ORDER BOOK",GetActionStrOrder(X7, H7, T7),IF($D$1="POSITIONS",GetActionStrPosition(F7, S7),"")))</f>
        <v/>
      </c>
      <c r="E7" s="3"/>
      <c r="F7" s="3"/>
      <c r="G7" s="3"/>
      <c r="H7" s="3"/>
      <c r="I7" s="3"/>
      <c r="J7" s="3"/>
      <c r="K7" s="3"/>
      <c r="L7" s="3"/>
      <c r="M7" s="3"/>
      <c r="N7" s="3"/>
      <c r="O7" s="3"/>
      <c r="P7" s="3"/>
      <c r="Q7" s="3"/>
      <c r="R7" s="3"/>
      <c r="S7" s="3"/>
      <c r="T7" s="3"/>
      <c r="U7" s="3"/>
      <c r="V7" s="3"/>
      <c r="W7" s="3"/>
      <c r="X7" s="3"/>
      <c r="Y7" s="3"/>
      <c r="Z7" s="3"/>
      <c r="AA7" s="3"/>
      <c r="AB7" s="3"/>
      <c r="AC7" s="3"/>
      <c r="AD7" s="3"/>
      <c r="AE7" s="3"/>
      <c r="AF7" s="3"/>
      <c r="AG7" s="3"/>
    </row>
    <row r="8" spans="2:33" x14ac:dyDescent="0.25">
      <c r="B8" s="28"/>
      <c r="D8" s="2" t="str">
        <f>IF(E8="","",IF($D$1="ORDER BOOK",GetActionStrOrder(X8, H8, T8),IF($D$1="POSITIONS",GetActionStrPosition(F8, S8),"")))</f>
        <v/>
      </c>
      <c r="E8" s="3"/>
      <c r="F8" s="3"/>
      <c r="G8" s="3"/>
      <c r="H8" s="3"/>
      <c r="I8" s="3"/>
      <c r="J8" s="3"/>
      <c r="K8" s="3"/>
      <c r="L8" s="3"/>
      <c r="M8" s="3"/>
      <c r="N8" s="3"/>
      <c r="O8" s="3"/>
      <c r="P8" s="3"/>
      <c r="Q8" s="3"/>
      <c r="R8" s="3"/>
      <c r="S8" s="3"/>
      <c r="T8" s="3"/>
      <c r="U8" s="3"/>
      <c r="V8" s="3"/>
      <c r="W8" s="3"/>
      <c r="X8" s="3"/>
      <c r="Y8" s="3"/>
      <c r="Z8" s="3"/>
      <c r="AA8" s="3"/>
      <c r="AB8" s="3"/>
      <c r="AC8" s="3"/>
      <c r="AD8" s="3"/>
      <c r="AE8" s="3"/>
      <c r="AF8" s="3"/>
      <c r="AG8" s="3"/>
    </row>
    <row r="9" spans="2:33" x14ac:dyDescent="0.25">
      <c r="B9" s="28"/>
      <c r="D9" s="2" t="str">
        <f>IF(E9="","",IF($D$1="ORDER BOOK",GetActionStrOrder(X9, H9, T9),IF($D$1="POSITIONS",GetActionStrPosition(F9, S9),"")))</f>
        <v/>
      </c>
      <c r="E9" s="3"/>
      <c r="F9" s="3"/>
      <c r="G9" s="3"/>
      <c r="H9" s="3"/>
      <c r="I9" s="3"/>
      <c r="J9" s="3"/>
      <c r="K9" s="3"/>
      <c r="L9" s="3"/>
      <c r="M9" s="3"/>
      <c r="N9" s="3"/>
      <c r="O9" s="3"/>
      <c r="P9" s="3"/>
      <c r="Q9" s="3"/>
      <c r="R9" s="3"/>
      <c r="S9" s="3"/>
      <c r="T9" s="3"/>
      <c r="U9" s="3"/>
      <c r="V9" s="3"/>
      <c r="W9" s="3"/>
      <c r="X9" s="3"/>
      <c r="Y9" s="3"/>
      <c r="Z9" s="3"/>
      <c r="AA9" s="3"/>
      <c r="AB9" s="3"/>
      <c r="AC9" s="3"/>
      <c r="AD9" s="3"/>
      <c r="AE9" s="3"/>
      <c r="AF9" s="3"/>
      <c r="AG9" s="3"/>
    </row>
    <row r="10" spans="2:33" x14ac:dyDescent="0.25">
      <c r="B10" s="28"/>
      <c r="D10" s="2" t="str">
        <f>IF(E10="","",IF($D$1="ORDER BOOK",GetActionStrOrder(X10, H10, T10),IF($D$1="POSITIONS",GetActionStrPosition(F10, S10),"")))</f>
        <v/>
      </c>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row>
    <row r="11" spans="2:33" x14ac:dyDescent="0.25">
      <c r="B11" s="28"/>
      <c r="D11" s="2" t="str">
        <f>IF(E11="","",IF($D$1="ORDER BOOK",GetActionStrOrder(X11, H11, T11),IF($D$1="POSITIONS",GetActionStrPosition(F11, S11),"")))</f>
        <v/>
      </c>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row>
    <row r="12" spans="2:33" x14ac:dyDescent="0.25">
      <c r="B12" s="28"/>
      <c r="D12" s="2" t="str">
        <f>IF(E12="","",IF($D$1="ORDER BOOK",GetActionStrOrder(X12, H12, T12),IF($D$1="POSITIONS",GetActionStrPosition(F12, S12),"")))</f>
        <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row>
    <row r="13" spans="2:33" x14ac:dyDescent="0.25">
      <c r="B13" s="28"/>
      <c r="D13" s="2" t="str">
        <f>IF(E13="","",IF($D$1="ORDER BOOK",GetActionStrOrder(X13, H13, T13),IF($D$1="POSITIONS",GetActionStrPosition(F13, S13),"")))</f>
        <v/>
      </c>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row>
    <row r="14" spans="2:33" x14ac:dyDescent="0.25">
      <c r="B14" s="28"/>
      <c r="D14" s="2" t="str">
        <f>IF(E14="","",IF($D$1="ORDER BOOK",GetActionStrOrder(X14, H14, T14),IF($D$1="POSITIONS",GetActionStrPosition(F14, S14),"")))</f>
        <v/>
      </c>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row>
    <row r="15" spans="2:33" x14ac:dyDescent="0.25">
      <c r="B15" s="28"/>
      <c r="D15" s="2" t="str">
        <f>IF(E15="","",IF($D$1="ORDER BOOK",GetActionStrOrder(X15, H15, T15),IF($D$1="POSITIONS",GetActionStrPosition(F15, S15),"")))</f>
        <v/>
      </c>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row>
    <row r="16" spans="2:33" x14ac:dyDescent="0.25">
      <c r="B16" s="28"/>
      <c r="D16" s="2" t="str">
        <f>IF(E16="","",IF($D$1="ORDER BOOK",GetActionStrOrder(X16, H16, T16),IF($D$1="POSITIONS",GetActionStrPosition(F16, S16),"")))</f>
        <v/>
      </c>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row>
    <row r="17" spans="2:33" x14ac:dyDescent="0.25">
      <c r="B17" s="28"/>
      <c r="D17" s="2" t="str">
        <f>IF(E17="","",IF($D$1="ORDER BOOK",GetActionStrOrder(X17, H17, T17),IF($D$1="POSITIONS",GetActionStrPosition(F17, S17),"")))</f>
        <v/>
      </c>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row>
    <row r="18" spans="2:33" x14ac:dyDescent="0.25">
      <c r="B18" s="28"/>
      <c r="D18" s="2" t="str">
        <f>IF(E18="","",IF($D$1="ORDER BOOK",GetActionStrOrder(X18, H18, T18),IF($D$1="POSITIONS",GetActionStrPosition(F18, S18),"")))</f>
        <v/>
      </c>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row>
    <row r="19" spans="2:33" x14ac:dyDescent="0.25">
      <c r="B19" s="28"/>
      <c r="D19" s="2" t="str">
        <f>IF(E19="","",IF($D$1="ORDER BOOK",GetActionStrOrder(X19, H19, T19),IF($D$1="POSITIONS",GetActionStrPosition(F19, S19),"")))</f>
        <v/>
      </c>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row>
    <row r="20" spans="2:33" x14ac:dyDescent="0.25">
      <c r="B20" s="33" t="s">
        <v>79</v>
      </c>
      <c r="D20" s="2" t="str">
        <f>IF(E20="","",IF($D$1="ORDER BOOK",GetActionStrOrder(X20, H20, T20),IF($D$1="POSITIONS",GetActionStrPosition(F20, S20),"")))</f>
        <v/>
      </c>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row>
    <row r="21" spans="2:33" x14ac:dyDescent="0.25">
      <c r="B21" s="28"/>
      <c r="D21" s="2" t="str">
        <f>IF(E21="","",IF($D$1="ORDER BOOK",GetActionStrOrder(X21, H21, T21),IF($D$1="POSITIONS",GetActionStrPosition(F21, S21),"")))</f>
        <v/>
      </c>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row>
    <row r="22" spans="2:33" x14ac:dyDescent="0.25">
      <c r="B22" s="28"/>
      <c r="D22" s="2" t="str">
        <f>IF(E22="","",IF($D$1="ORDER BOOK",GetActionStrOrder(X22, H22, T22),IF($D$1="POSITIONS",GetActionStrPosition(F22, S22),"")))</f>
        <v/>
      </c>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row>
    <row r="23" spans="2:33" x14ac:dyDescent="0.25">
      <c r="B23" s="28"/>
      <c r="D23" s="2" t="str">
        <f>IF(E23="","",IF($D$1="ORDER BOOK",GetActionStrOrder(X23, H23, T23),IF($D$1="POSITIONS",GetActionStrPosition(F23, S23),"")))</f>
        <v/>
      </c>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row>
    <row r="24" spans="2:33" x14ac:dyDescent="0.25">
      <c r="B24" s="28"/>
      <c r="D24" s="2" t="str">
        <f>IF(E24="","",IF($D$1="ORDER BOOK",GetActionStrOrder(X24, H24, T24),IF($D$1="POSITIONS",GetActionStrPosition(F24, S24),"")))</f>
        <v/>
      </c>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row>
    <row r="25" spans="2:33" x14ac:dyDescent="0.25">
      <c r="B25" s="28"/>
      <c r="D25" s="2" t="str">
        <f>IF(E25="","",IF($D$1="ORDER BOOK",GetActionStrOrder(X25, H25, T25),IF($D$1="POSITIONS",GetActionStrPosition(F25, S25),"")))</f>
        <v/>
      </c>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row>
    <row r="26" spans="2:33" x14ac:dyDescent="0.25">
      <c r="B26" s="28"/>
      <c r="D26" s="2" t="str">
        <f>IF(E26="","",IF($D$1="ORDER BOOK",GetActionStrOrder(X26, H26, T26),IF($D$1="POSITIONS",GetActionStrPosition(F26, S26),"")))</f>
        <v/>
      </c>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row>
    <row r="27" spans="2:33" x14ac:dyDescent="0.25">
      <c r="B27" s="28"/>
      <c r="D27" s="2" t="str">
        <f>IF(E27="","",IF($D$1="ORDER BOOK",GetActionStrOrder(X27, H27, T27),IF($D$1="POSITIONS",GetActionStrPosition(F27, S27),"")))</f>
        <v/>
      </c>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row>
    <row r="28" spans="2:33" x14ac:dyDescent="0.25">
      <c r="B28" s="28"/>
      <c r="D28" s="2" t="str">
        <f>IF(E28="","",IF($D$1="ORDER BOOK",GetActionStrOrder(X28, H28, T28),IF($D$1="POSITIONS",GetActionStrPosition(F28, S28),"")))</f>
        <v/>
      </c>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row>
    <row r="29" spans="2:33" x14ac:dyDescent="0.25">
      <c r="B29" s="28"/>
      <c r="D29" s="2" t="str">
        <f>IF(E29="","",IF($D$1="ORDER BOOK",GetActionStrOrder(X29, H29, T29),IF($D$1="POSITIONS",GetActionStrPosition(F29, S29),"")))</f>
        <v/>
      </c>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row>
    <row r="30" spans="2:33" x14ac:dyDescent="0.25">
      <c r="B30" s="28"/>
      <c r="D30" s="2" t="str">
        <f>IF(E30="","",IF($D$1="ORDER BOOK",GetActionStrOrder(X30, H30, T30),IF($D$1="POSITIONS",GetActionStrPosition(F30, S30),"")))</f>
        <v/>
      </c>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row>
    <row r="31" spans="2:33" x14ac:dyDescent="0.25">
      <c r="B31" s="28"/>
      <c r="D31" s="2" t="str">
        <f>IF(E31="","",IF($D$1="ORDER BOOK",GetActionStrOrder(X31, H31, T31),IF($D$1="POSITIONS",GetActionStrPosition(F31, S31),"")))</f>
        <v/>
      </c>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row>
    <row r="32" spans="2:33" x14ac:dyDescent="0.25">
      <c r="B32" s="28"/>
      <c r="D32" s="2" t="str">
        <f>IF(E32="","",IF($D$1="ORDER BOOK",GetActionStrOrder(X32, H32, T32),IF($D$1="POSITIONS",GetActionStrPosition(F32, S32),"")))</f>
        <v/>
      </c>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row>
    <row r="33" spans="2:33" x14ac:dyDescent="0.25">
      <c r="B33" s="28"/>
      <c r="D33" s="2" t="str">
        <f>IF(E33="","",IF($D$1="ORDER BOOK",GetActionStrOrder(X33, H33, T33),IF($D$1="POSITIONS",GetActionStrPosition(F33, S33),"")))</f>
        <v/>
      </c>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row>
    <row r="34" spans="2:33" x14ac:dyDescent="0.25">
      <c r="B34" s="28"/>
      <c r="D34" s="2" t="str">
        <f>IF(E34="","",IF($D$1="ORDER BOOK",GetActionStrOrder(X34, H34, T34),IF($D$1="POSITIONS",GetActionStrPosition(F34, S34),"")))</f>
        <v/>
      </c>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row>
    <row r="35" spans="2:33" x14ac:dyDescent="0.25">
      <c r="B35" s="28"/>
      <c r="D35" s="2" t="str">
        <f>IF(E35="","",IF($D$1="ORDER BOOK",GetActionStrOrder(X35, H35, T35),IF($D$1="POSITIONS",GetActionStrPosition(F35, S35),"")))</f>
        <v/>
      </c>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row>
    <row r="36" spans="2:33" x14ac:dyDescent="0.25">
      <c r="B36" s="28"/>
      <c r="D36" s="2" t="str">
        <f>IF(E36="","",IF($D$1="ORDER BOOK",GetActionStrOrder(X36, H36, T36),IF($D$1="POSITIONS",GetActionStrPosition(F36, S36),"")))</f>
        <v/>
      </c>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row>
    <row r="37" spans="2:33" x14ac:dyDescent="0.25">
      <c r="B37" s="28"/>
      <c r="D37" s="2" t="str">
        <f>IF(E37="","",IF($D$1="ORDER BOOK",GetActionStrOrder(X37, H37, T37),IF($D$1="POSITIONS",GetActionStrPosition(F37, S37),"")))</f>
        <v/>
      </c>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row>
    <row r="38" spans="2:33" x14ac:dyDescent="0.25">
      <c r="B38" s="28"/>
      <c r="D38" s="2" t="str">
        <f>IF(E38="","",IF($D$1="ORDER BOOK",GetActionStrOrder(X38, H38, T38),IF($D$1="POSITIONS",GetActionStrPosition(F38, S38),"")))</f>
        <v/>
      </c>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row>
    <row r="39" spans="2:33" x14ac:dyDescent="0.25">
      <c r="B39" s="28"/>
      <c r="D39" s="2" t="str">
        <f>IF(E39="","",IF($D$1="ORDER BOOK",GetActionStrOrder(X39, H39, T39),IF($D$1="POSITIONS",GetActionStrPosition(F39, S39),"")))</f>
        <v/>
      </c>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row>
    <row r="40" spans="2:33" x14ac:dyDescent="0.25">
      <c r="B40" s="28"/>
      <c r="D40" s="2" t="str">
        <f>IF(E40="","",IF($D$1="ORDER BOOK",GetActionStrOrder(X40, H40, T40),IF($D$1="POSITIONS",GetActionStrPosition(F40, S40),"")))</f>
        <v/>
      </c>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row>
    <row r="41" spans="2:33" x14ac:dyDescent="0.25">
      <c r="B41" s="28"/>
      <c r="D41" s="2" t="str">
        <f>IF(E41="","",IF($D$1="ORDER BOOK",GetActionStrOrder(X41, H41, T41),IF($D$1="POSITIONS",GetActionStrPosition(F41, S41),"")))</f>
        <v/>
      </c>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row>
    <row r="42" spans="2:33" x14ac:dyDescent="0.25">
      <c r="B42" s="28"/>
      <c r="D42" s="2" t="str">
        <f>IF(E42="","",IF($D$1="ORDER BOOK",GetActionStrOrder(X42, H42, T42),IF($D$1="POSITIONS",GetActionStrPosition(F42, S42),"")))</f>
        <v/>
      </c>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row>
    <row r="43" spans="2:33" x14ac:dyDescent="0.25">
      <c r="B43" s="28"/>
      <c r="D43" s="2" t="str">
        <f>IF(E43="","",IF($D$1="ORDER BOOK",GetActionStrOrder(X43, H43, T43),IF($D$1="POSITIONS",GetActionStrPosition(F43, S43),"")))</f>
        <v/>
      </c>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row>
    <row r="44" spans="2:33" x14ac:dyDescent="0.25">
      <c r="B44" s="28"/>
      <c r="D44" s="2" t="str">
        <f>IF(E44="","",IF($D$1="ORDER BOOK",GetActionStrOrder(X44, H44, T44),IF($D$1="POSITIONS",GetActionStrPosition(F44, S44),"")))</f>
        <v/>
      </c>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row>
    <row r="45" spans="2:33" x14ac:dyDescent="0.25">
      <c r="B45" s="28"/>
      <c r="D45" s="2" t="str">
        <f>IF(E45="","",IF($D$1="ORDER BOOK",GetActionStrOrder(X45, H45, T45),IF($D$1="POSITIONS",GetActionStrPosition(F45, S45),"")))</f>
        <v/>
      </c>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row>
    <row r="46" spans="2:33" x14ac:dyDescent="0.25">
      <c r="B46" s="28"/>
      <c r="D46" s="2" t="str">
        <f>IF(E46="","",IF($D$1="ORDER BOOK",GetActionStrOrder(X46, H46, T46),IF($D$1="POSITIONS",GetActionStrPosition(F46, S46),"")))</f>
        <v/>
      </c>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row>
    <row r="47" spans="2:33" x14ac:dyDescent="0.25">
      <c r="B47" s="28"/>
      <c r="D47" s="2" t="str">
        <f>IF(E47="","",IF($D$1="ORDER BOOK",GetActionStrOrder(X47, H47, T47),IF($D$1="POSITIONS",GetActionStrPosition(F47, S47),"")))</f>
        <v/>
      </c>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row>
    <row r="48" spans="2:33" x14ac:dyDescent="0.25">
      <c r="B48" s="28"/>
      <c r="D48" s="2" t="str">
        <f>IF(E48="","",IF($D$1="ORDER BOOK",GetActionStrOrder(X48, H48, T48),IF($D$1="POSITIONS",GetActionStrPosition(F48, S48),"")))</f>
        <v/>
      </c>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row>
    <row r="49" spans="2:33" x14ac:dyDescent="0.25">
      <c r="B49" s="28"/>
      <c r="D49" s="2" t="str">
        <f>IF(E49="","",IF($D$1="ORDER BOOK",GetActionStrOrder(X49, H49, T49),IF($D$1="POSITIONS",GetActionStrPosition(F49, S49),"")))</f>
        <v/>
      </c>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row>
    <row r="50" spans="2:33" x14ac:dyDescent="0.25">
      <c r="B50" s="28"/>
      <c r="D50" s="2" t="str">
        <f>IF(E50="","",IF($D$1="ORDER BOOK",GetActionStrOrder(X50, H50, T50),IF($D$1="POSITIONS",GetActionStrPosition(F50, S50),"")))</f>
        <v/>
      </c>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row>
    <row r="51" spans="2:33" x14ac:dyDescent="0.25">
      <c r="B51" s="28"/>
      <c r="D51" s="2" t="str">
        <f>IF(E51="","",IF($D$1="ORDER BOOK",GetActionStrOrder(X51, H51, T51),IF($D$1="POSITIONS",GetActionStrPosition(F51, S51),"")))</f>
        <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row>
    <row r="52" spans="2:33" x14ac:dyDescent="0.25">
      <c r="B52" s="28"/>
      <c r="D52" s="2" t="str">
        <f>IF(E52="","",IF($D$1="ORDER BOOK",GetActionStrOrder(X52, H52, T52),IF($D$1="POSITIONS",GetActionStrPosition(F52, S52),"")))</f>
        <v/>
      </c>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row>
    <row r="53" spans="2:33" x14ac:dyDescent="0.25">
      <c r="B53" s="28"/>
      <c r="D53" s="2" t="str">
        <f>IF(E53="","",IF($D$1="ORDER BOOK",GetActionStrOrder(X53, H53, T53),IF($D$1="POSITIONS",GetActionStrPosition(F53, S53),"")))</f>
        <v/>
      </c>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row>
    <row r="54" spans="2:33" x14ac:dyDescent="0.25">
      <c r="B54" s="28"/>
      <c r="D54" s="2" t="str">
        <f>IF(E54="","",IF($D$1="ORDER BOOK",GetActionStrOrder(X54, H54, T54),IF($D$1="POSITIONS",GetActionStrPosition(F54, S54),"")))</f>
        <v/>
      </c>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row>
    <row r="55" spans="2:33" x14ac:dyDescent="0.25">
      <c r="B55" s="28"/>
      <c r="D55" s="2" t="str">
        <f>IF(E55="","",IF($D$1="ORDER BOOK",GetActionStrOrder(X55, H55, T55),IF($D$1="POSITIONS",GetActionStrPosition(F55, S55),"")))</f>
        <v/>
      </c>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row>
    <row r="56" spans="2:33" x14ac:dyDescent="0.25">
      <c r="B56" s="28"/>
      <c r="D56" s="2" t="str">
        <f>IF(E56="","",IF($D$1="ORDER BOOK",GetActionStrOrder(X56, H56, T56),IF($D$1="POSITIONS",GetActionStrPosition(F56, S56),"")))</f>
        <v/>
      </c>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row>
    <row r="57" spans="2:33" x14ac:dyDescent="0.25">
      <c r="B57" s="28"/>
      <c r="D57" s="2" t="str">
        <f>IF(E57="","",IF($D$1="ORDER BOOK",GetActionStrOrder(X57, H57, T57),IF($D$1="POSITIONS",GetActionStrPosition(F57, S57),"")))</f>
        <v/>
      </c>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row>
    <row r="58" spans="2:33" x14ac:dyDescent="0.25">
      <c r="B58" s="28"/>
      <c r="D58" s="2" t="str">
        <f>IF(E58="","",IF($D$1="ORDER BOOK",GetActionStrOrder(X58, H58, T58),IF($D$1="POSITIONS",GetActionStrPosition(F58, S58),"")))</f>
        <v/>
      </c>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row>
    <row r="59" spans="2:33" x14ac:dyDescent="0.25">
      <c r="B59" s="28"/>
      <c r="D59" s="2" t="str">
        <f>IF(E59="","",IF($D$1="ORDER BOOK",GetActionStrOrder(X59, H59, T59),IF($D$1="POSITIONS",GetActionStrPosition(F59, S59),"")))</f>
        <v/>
      </c>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row>
    <row r="60" spans="2:33" x14ac:dyDescent="0.25">
      <c r="B60" s="28"/>
      <c r="D60" s="2" t="str">
        <f>IF(E60="","",IF($D$1="ORDER BOOK",GetActionStrOrder(X60, H60, T60),IF($D$1="POSITIONS",GetActionStrPosition(F60, S60),"")))</f>
        <v/>
      </c>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row>
    <row r="61" spans="2:33" x14ac:dyDescent="0.25">
      <c r="B61" s="28"/>
      <c r="D61" s="2" t="str">
        <f>IF(E61="","",IF($D$1="ORDER BOOK",GetActionStrOrder(X61, H61, T61),IF($D$1="POSITIONS",GetActionStrPosition(F61, S61),"")))</f>
        <v/>
      </c>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row>
    <row r="62" spans="2:33" x14ac:dyDescent="0.25">
      <c r="B62" s="28"/>
      <c r="D62" s="2" t="str">
        <f>IF(E62="","",IF($D$1="ORDER BOOK",GetActionStrOrder(X62, H62, T62),IF($D$1="POSITIONS",GetActionStrPosition(F62, S62),"")))</f>
        <v/>
      </c>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row>
    <row r="63" spans="2:33" x14ac:dyDescent="0.25">
      <c r="B63" s="28"/>
      <c r="D63" s="2" t="str">
        <f>IF(E63="","",IF($D$1="ORDER BOOK",GetActionStrOrder(X63, H63, T63),IF($D$1="POSITIONS",GetActionStrPosition(F63, S63),"")))</f>
        <v/>
      </c>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row>
    <row r="64" spans="2:33" x14ac:dyDescent="0.25">
      <c r="B64" s="28"/>
      <c r="D64" s="2" t="str">
        <f>IF(E64="","",IF($D$1="ORDER BOOK",GetActionStrOrder(X64, H64, T64),IF($D$1="POSITIONS",GetActionStrPosition(F64, S64),"")))</f>
        <v/>
      </c>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row>
    <row r="65" spans="2:33" x14ac:dyDescent="0.25">
      <c r="B65" s="28"/>
      <c r="D65" s="2" t="str">
        <f>IF(E65="","",IF($D$1="ORDER BOOK",GetActionStrOrder(X65, H65, T65),IF($D$1="POSITIONS",GetActionStrPosition(F65, S65),"")))</f>
        <v/>
      </c>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row>
    <row r="66" spans="2:33" x14ac:dyDescent="0.25">
      <c r="B66" s="28"/>
      <c r="D66" s="2" t="str">
        <f>IF(E66="","",IF($D$1="ORDER BOOK",GetActionStrOrder(X66, H66, T66),IF($D$1="POSITIONS",GetActionStrPosition(F66, S66),"")))</f>
        <v/>
      </c>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row>
    <row r="67" spans="2:33" x14ac:dyDescent="0.25">
      <c r="B67" s="28"/>
      <c r="D67" s="2" t="str">
        <f>IF(E67="","",IF($D$1="ORDER BOOK",GetActionStrOrder(X67, H67, T67),IF($D$1="POSITIONS",GetActionStrPosition(F67, S67),"")))</f>
        <v/>
      </c>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row>
    <row r="68" spans="2:33" x14ac:dyDescent="0.25">
      <c r="B68" s="28"/>
      <c r="D68" s="2" t="str">
        <f>IF(E68="","",IF($D$1="ORDER BOOK",GetActionStrOrder(X68, H68, T68),IF($D$1="POSITIONS",GetActionStrPosition(F68, S68),"")))</f>
        <v/>
      </c>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row>
    <row r="69" spans="2:33" x14ac:dyDescent="0.25">
      <c r="B69" s="28"/>
      <c r="D69" s="2" t="str">
        <f>IF(E69="","",IF($D$1="ORDER BOOK",GetActionStrOrder(X69, H69, T69),IF($D$1="POSITIONS",GetActionStrPosition(F69, S69),"")))</f>
        <v/>
      </c>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row>
    <row r="70" spans="2:33" x14ac:dyDescent="0.25">
      <c r="B70" s="28"/>
      <c r="D70" s="2" t="str">
        <f>IF(E70="","",IF($D$1="ORDER BOOK",GetActionStrOrder(X70, H70, T70),IF($D$1="POSITIONS",GetActionStrPosition(F70, S70),"")))</f>
        <v/>
      </c>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row>
    <row r="71" spans="2:33" x14ac:dyDescent="0.25">
      <c r="B71" s="28"/>
      <c r="D71" s="2" t="str">
        <f>IF(E71="","",IF($D$1="ORDER BOOK",GetActionStrOrder(X71, H71, T71),IF($D$1="POSITIONS",GetActionStrPosition(F71, S71),"")))</f>
        <v/>
      </c>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row>
    <row r="72" spans="2:33" x14ac:dyDescent="0.25">
      <c r="B72" s="28"/>
      <c r="D72" s="2" t="str">
        <f>IF(E72="","",IF($D$1="ORDER BOOK",GetActionStrOrder(X72, H72, T72),IF($D$1="POSITIONS",GetActionStrPosition(F72, S72),"")))</f>
        <v/>
      </c>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row>
    <row r="73" spans="2:33" x14ac:dyDescent="0.25">
      <c r="B73" s="28"/>
      <c r="D73" s="2" t="str">
        <f>IF(E73="","",IF($D$1="ORDER BOOK",GetActionStrOrder(X73, H73, T73),IF($D$1="POSITIONS",GetActionStrPosition(F73, S73),"")))</f>
        <v/>
      </c>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row>
    <row r="74" spans="2:33" x14ac:dyDescent="0.25">
      <c r="B74" s="28"/>
      <c r="D74" s="2" t="str">
        <f>IF(E74="","",IF($D$1="ORDER BOOK",GetActionStrOrder(X74, H74, T74),IF($D$1="POSITIONS",GetActionStrPosition(F74, S74),"")))</f>
        <v/>
      </c>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row>
    <row r="75" spans="2:33" x14ac:dyDescent="0.25">
      <c r="B75" s="28"/>
      <c r="D75" s="2" t="str">
        <f>IF(E75="","",IF($D$1="ORDER BOOK",GetActionStrOrder(X75, H75, T75),IF($D$1="POSITIONS",GetActionStrPosition(F75, S75),"")))</f>
        <v/>
      </c>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row>
    <row r="76" spans="2:33" x14ac:dyDescent="0.25">
      <c r="B76" s="28"/>
      <c r="D76" s="2" t="str">
        <f>IF(E76="","",IF($D$1="ORDER BOOK",GetActionStrOrder(X76, H76, T76),IF($D$1="POSITIONS",GetActionStrPosition(F76, S76),"")))</f>
        <v/>
      </c>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row>
    <row r="77" spans="2:33" x14ac:dyDescent="0.25">
      <c r="B77" s="28"/>
      <c r="D77" s="2" t="str">
        <f>IF(E77="","",IF($D$1="ORDER BOOK",GetActionStrOrder(X77, H77, T77),IF($D$1="POSITIONS",GetActionStrPosition(F77, S77),"")))</f>
        <v/>
      </c>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row>
    <row r="78" spans="2:33" x14ac:dyDescent="0.25">
      <c r="B78" s="28"/>
      <c r="D78" s="2" t="str">
        <f>IF(E78="","",IF($D$1="ORDER BOOK",GetActionStrOrder(X78, H78, T78),IF($D$1="POSITIONS",GetActionStrPosition(F78, S78),"")))</f>
        <v/>
      </c>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row>
    <row r="79" spans="2:33" x14ac:dyDescent="0.25">
      <c r="B79" s="28"/>
      <c r="D79" s="2" t="str">
        <f>IF(E79="","",IF($D$1="ORDER BOOK",GetActionStrOrder(X79, H79, T79),IF($D$1="POSITIONS",GetActionStrPosition(F79, S79),"")))</f>
        <v/>
      </c>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row>
    <row r="80" spans="2:33" x14ac:dyDescent="0.25">
      <c r="B80" s="28"/>
      <c r="D80" s="2" t="str">
        <f>IF(E80="","",IF($D$1="ORDER BOOK",GetActionStrOrder(X80, H80, T80),IF($D$1="POSITIONS",GetActionStrPosition(F80, S80),"")))</f>
        <v/>
      </c>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row>
    <row r="81" spans="2:33" x14ac:dyDescent="0.25">
      <c r="B81" s="28"/>
      <c r="D81" s="2" t="str">
        <f>IF(E81="","",IF($D$1="ORDER BOOK",GetActionStrOrder(X81, H81, T81),IF($D$1="POSITIONS",GetActionStrPosition(F81, S81),"")))</f>
        <v/>
      </c>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row>
    <row r="82" spans="2:33" x14ac:dyDescent="0.25">
      <c r="B82" s="28"/>
      <c r="D82" s="2" t="str">
        <f>IF(E82="","",IF($D$1="ORDER BOOK",GetActionStrOrder(X82, H82, T82),IF($D$1="POSITIONS",GetActionStrPosition(F82, S82),"")))</f>
        <v/>
      </c>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row>
    <row r="83" spans="2:33" x14ac:dyDescent="0.25">
      <c r="B83" s="28"/>
      <c r="D83" s="2" t="str">
        <f>IF(E83="","",IF($D$1="ORDER BOOK",GetActionStrOrder(X83, H83, T83),IF($D$1="POSITIONS",GetActionStrPosition(F83, S83),"")))</f>
        <v/>
      </c>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row>
    <row r="84" spans="2:33" x14ac:dyDescent="0.25">
      <c r="B84" s="28"/>
      <c r="D84" s="2" t="str">
        <f>IF(E84="","",IF($D$1="ORDER BOOK",GetActionStrOrder(X84, H84, T84),IF($D$1="POSITIONS",GetActionStrPosition(F84, S84),"")))</f>
        <v/>
      </c>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row>
    <row r="85" spans="2:33" x14ac:dyDescent="0.25">
      <c r="B85" s="28"/>
      <c r="D85" s="2" t="str">
        <f>IF(E85="","",IF($D$1="ORDER BOOK",GetActionStrOrder(X85, H85, T85),IF($D$1="POSITIONS",GetActionStrPosition(F85, S85),"")))</f>
        <v/>
      </c>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row>
    <row r="86" spans="2:33" x14ac:dyDescent="0.25">
      <c r="B86" s="28"/>
      <c r="D86" s="2" t="str">
        <f>IF(E86="","",IF($D$1="ORDER BOOK",GetActionStrOrder(X86, H86, T86),IF($D$1="POSITIONS",GetActionStrPosition(F86, S86),"")))</f>
        <v/>
      </c>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row>
    <row r="87" spans="2:33" x14ac:dyDescent="0.25">
      <c r="B87" s="28"/>
      <c r="D87" s="2" t="str">
        <f>IF(E87="","",IF($D$1="ORDER BOOK",GetActionStrOrder(X87, H87, T87),IF($D$1="POSITIONS",GetActionStrPosition(F87, S87),"")))</f>
        <v/>
      </c>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row>
    <row r="88" spans="2:33" x14ac:dyDescent="0.25">
      <c r="B88" s="28"/>
      <c r="D88" s="2" t="str">
        <f>IF(E88="","",IF($D$1="ORDER BOOK",GetActionStrOrder(X88, H88, T88),IF($D$1="POSITIONS",GetActionStrPosition(F88, S88),"")))</f>
        <v/>
      </c>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row>
    <row r="89" spans="2:33" x14ac:dyDescent="0.25">
      <c r="B89" s="28"/>
      <c r="D89" s="2" t="str">
        <f>IF(E89="","",IF($D$1="ORDER BOOK",GetActionStrOrder(X89, H89, T89),IF($D$1="POSITIONS",GetActionStrPosition(F89, S89),"")))</f>
        <v/>
      </c>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row>
    <row r="90" spans="2:33" x14ac:dyDescent="0.25">
      <c r="B90" s="28"/>
      <c r="D90" s="2" t="str">
        <f>IF(E90="","",IF($D$1="ORDER BOOK",GetActionStrOrder(X90, H90, T90),IF($D$1="POSITIONS",GetActionStrPosition(F90, S90),"")))</f>
        <v/>
      </c>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row>
    <row r="91" spans="2:33" x14ac:dyDescent="0.25">
      <c r="B91" s="28"/>
      <c r="D91" s="2" t="str">
        <f>IF(E91="","",IF($D$1="ORDER BOOK",GetActionStrOrder(X91, H91, T91),IF($D$1="POSITIONS",GetActionStrPosition(F91, S91),"")))</f>
        <v/>
      </c>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row>
    <row r="92" spans="2:33" x14ac:dyDescent="0.25">
      <c r="B92" s="28"/>
      <c r="D92" s="2" t="str">
        <f>IF(E92="","",IF($D$1="ORDER BOOK",GetActionStrOrder(X92, H92, T92),IF($D$1="POSITIONS",GetActionStrPosition(F92, S92),"")))</f>
        <v/>
      </c>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row>
    <row r="93" spans="2:33" x14ac:dyDescent="0.25">
      <c r="B93" s="28"/>
      <c r="D93" s="2" t="str">
        <f>IF(E93="","",IF($D$1="ORDER BOOK",GetActionStrOrder(X93, H93, T93),IF($D$1="POSITIONS",GetActionStrPosition(F93, S93),"")))</f>
        <v/>
      </c>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row>
    <row r="94" spans="2:33" x14ac:dyDescent="0.25">
      <c r="B94" s="28"/>
      <c r="D94" s="2" t="str">
        <f>IF(E94="","",IF($D$1="ORDER BOOK",GetActionStrOrder(X94, H94, T94),IF($D$1="POSITIONS",GetActionStrPosition(F94, S94),"")))</f>
        <v/>
      </c>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row>
    <row r="95" spans="2:33" x14ac:dyDescent="0.25">
      <c r="B95" s="28"/>
      <c r="D95" s="2" t="str">
        <f>IF(E95="","",IF($D$1="ORDER BOOK",GetActionStrOrder(X95, H95, T95),IF($D$1="POSITIONS",GetActionStrPosition(F95, S95),"")))</f>
        <v/>
      </c>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row>
    <row r="96" spans="2:33" x14ac:dyDescent="0.25">
      <c r="B96" s="28"/>
      <c r="D96" s="2" t="str">
        <f>IF(E96="","",IF($D$1="ORDER BOOK",GetActionStrOrder(X96, H96, T96),IF($D$1="POSITIONS",GetActionStrPosition(F96, S96),"")))</f>
        <v/>
      </c>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row>
    <row r="97" spans="2:33" x14ac:dyDescent="0.25">
      <c r="B97" s="28"/>
      <c r="D97" s="2" t="str">
        <f>IF(E97="","",IF($D$1="ORDER BOOK",GetActionStrOrder(X97, H97, T97),IF($D$1="POSITIONS",GetActionStrPosition(F97, S97),"")))</f>
        <v/>
      </c>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row>
    <row r="98" spans="2:33" x14ac:dyDescent="0.25">
      <c r="B98" s="28"/>
      <c r="D98" s="2" t="str">
        <f>IF(E98="","",IF($D$1="ORDER BOOK",GetActionStrOrder(X98, H98, T98),IF($D$1="POSITIONS",GetActionStrPosition(F98, S98),"")))</f>
        <v/>
      </c>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row>
    <row r="99" spans="2:33" x14ac:dyDescent="0.25">
      <c r="B99" s="28"/>
      <c r="D99" s="2" t="str">
        <f>IF(E99="","",IF($D$1="ORDER BOOK",GetActionStrOrder(X99, H99, T99),IF($D$1="POSITIONS",GetActionStrPosition(F99, S99),"")))</f>
        <v/>
      </c>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row>
    <row r="100" spans="2:33" x14ac:dyDescent="0.25">
      <c r="B100" s="28"/>
      <c r="D100" s="2" t="str">
        <f>IF(E100="","",IF($D$1="ORDER BOOK",GetActionStrOrder(X100, H100, T100),IF($D$1="POSITIONS",GetActionStrPosition(F100, S100),"")))</f>
        <v/>
      </c>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row>
    <row r="101" spans="2:33" x14ac:dyDescent="0.25">
      <c r="B101" s="28"/>
      <c r="D101" s="2" t="str">
        <f>IF(E101="","",IF($D$1="ORDER BOOK",GetActionStrOrder(X101, H101, T101),IF($D$1="POSITIONS",GetActionStrPosition(F101, S101),"")))</f>
        <v/>
      </c>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row>
    <row r="102" spans="2:33" x14ac:dyDescent="0.25">
      <c r="B102" s="28"/>
      <c r="D102" s="2" t="str">
        <f>IF(E102="","",IF($D$1="ORDER BOOK",GetActionStrOrder(X102, H102, T102),IF($D$1="POSITIONS",GetActionStrPosition(F102, S102),"")))</f>
        <v/>
      </c>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row>
    <row r="103" spans="2:33" x14ac:dyDescent="0.25">
      <c r="B103" s="28"/>
      <c r="D103" s="2" t="str">
        <f>IF(E103="","",IF($D$1="ORDER BOOK",GetActionStrOrder(X103, H103, T103),IF($D$1="POSITIONS",GetActionStrPosition(F103, S103),"")))</f>
        <v/>
      </c>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row>
    <row r="104" spans="2:33" x14ac:dyDescent="0.25">
      <c r="B104" s="28"/>
      <c r="D104" s="2" t="str">
        <f>IF(E104="","",IF($D$1="ORDER BOOK",GetActionStrOrder(X104, H104, T104),IF($D$1="POSITIONS",GetActionStrPosition(F104, S104),"")))</f>
        <v/>
      </c>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row>
    <row r="105" spans="2:33" x14ac:dyDescent="0.25">
      <c r="B105" s="28"/>
      <c r="D105" s="2" t="str">
        <f>IF(E105="","",IF($D$1="ORDER BOOK",GetActionStrOrder(X105, H105, T105),IF($D$1="POSITIONS",GetActionStrPosition(F105, S105),"")))</f>
        <v/>
      </c>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row>
    <row r="106" spans="2:33" x14ac:dyDescent="0.25">
      <c r="B106" s="28"/>
      <c r="D106" s="2" t="str">
        <f>IF(E106="","",IF($D$1="ORDER BOOK",GetActionStrOrder(X106, H106, T106),IF($D$1="POSITIONS",GetActionStrPosition(F106, S106),"")))</f>
        <v/>
      </c>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row>
    <row r="107" spans="2:33" x14ac:dyDescent="0.25">
      <c r="B107" s="28"/>
      <c r="D107" s="2" t="str">
        <f>IF(E107="","",IF($D$1="ORDER BOOK",GetActionStrOrder(X107, H107, T107),IF($D$1="POSITIONS",GetActionStrPosition(F107, S107),"")))</f>
        <v/>
      </c>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row>
    <row r="108" spans="2:33" x14ac:dyDescent="0.25">
      <c r="B108" s="28"/>
      <c r="D108" s="2" t="str">
        <f>IF(E108="","",IF($D$1="ORDER BOOK",GetActionStrOrder(X108, H108, T108),IF($D$1="POSITIONS",GetActionStrPosition(F108, S108),"")))</f>
        <v/>
      </c>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row>
    <row r="109" spans="2:33" x14ac:dyDescent="0.25">
      <c r="B109" s="28"/>
      <c r="D109" s="2" t="str">
        <f>IF(E109="","",IF($D$1="ORDER BOOK",GetActionStrOrder(X109, H109, T109),IF($D$1="POSITIONS",GetActionStrPosition(F109, S109),"")))</f>
        <v/>
      </c>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row>
    <row r="110" spans="2:33" x14ac:dyDescent="0.25">
      <c r="B110" s="28"/>
      <c r="D110" s="2" t="str">
        <f>IF(E110="","",IF($D$1="ORDER BOOK",GetActionStrOrder(X110, H110, T110),IF($D$1="POSITIONS",GetActionStrPosition(F110, S110),"")))</f>
        <v/>
      </c>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row>
    <row r="111" spans="2:33" x14ac:dyDescent="0.25">
      <c r="B111" s="28"/>
      <c r="D111" s="2" t="str">
        <f>IF(E111="","",IF($D$1="ORDER BOOK",GetActionStrOrder(X111, H111, T111),IF($D$1="POSITIONS",GetActionStrPosition(F111, S111),"")))</f>
        <v/>
      </c>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row>
    <row r="112" spans="2:33" x14ac:dyDescent="0.25">
      <c r="B112" s="28"/>
      <c r="D112" s="2" t="str">
        <f>IF(E112="","",IF($D$1="ORDER BOOK",GetActionStrOrder(X112, H112, T112),IF($D$1="POSITIONS",GetActionStrPosition(F112, S112),"")))</f>
        <v/>
      </c>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row>
    <row r="113" spans="2:33" x14ac:dyDescent="0.25">
      <c r="B113" s="28"/>
      <c r="D113" s="2" t="str">
        <f>IF(E113="","",IF($D$1="ORDER BOOK",GetActionStrOrder(X113, H113, T113),IF($D$1="POSITIONS",GetActionStrPosition(F113, S113),"")))</f>
        <v/>
      </c>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row>
    <row r="114" spans="2:33" x14ac:dyDescent="0.25">
      <c r="B114" s="28"/>
      <c r="D114" s="2" t="str">
        <f>IF(E114="","",IF($D$1="ORDER BOOK",GetActionStrOrder(X114, H114, T114),IF($D$1="POSITIONS",GetActionStrPosition(F114, S114),"")))</f>
        <v/>
      </c>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row>
    <row r="115" spans="2:33" x14ac:dyDescent="0.25">
      <c r="B115" s="28"/>
      <c r="D115" s="2" t="str">
        <f>IF(E115="","",IF($D$1="ORDER BOOK",GetActionStrOrder(X115, H115, T115),IF($D$1="POSITIONS",GetActionStrPosition(F115, S115),"")))</f>
        <v/>
      </c>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row>
    <row r="116" spans="2:33" x14ac:dyDescent="0.25">
      <c r="B116" s="28"/>
      <c r="D116" s="2" t="str">
        <f>IF(E116="","",IF($D$1="ORDER BOOK",GetActionStrOrder(X116, H116, T116),IF($D$1="POSITIONS",GetActionStrPosition(F116, S116),"")))</f>
        <v/>
      </c>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row>
    <row r="117" spans="2:33" x14ac:dyDescent="0.25">
      <c r="B117" s="28"/>
      <c r="D117" s="2" t="str">
        <f>IF(E117="","",IF($D$1="ORDER BOOK",GetActionStrOrder(X117, H117, T117),IF($D$1="POSITIONS",GetActionStrPosition(F117, S117),"")))</f>
        <v/>
      </c>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row>
    <row r="118" spans="2:33" x14ac:dyDescent="0.25">
      <c r="B118" s="28"/>
      <c r="D118" s="2" t="str">
        <f>IF(E118="","",IF($D$1="ORDER BOOK",GetActionStrOrder(X118, H118, T118),IF($D$1="POSITIONS",GetActionStrPosition(F118, S118),"")))</f>
        <v/>
      </c>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row>
    <row r="119" spans="2:33" x14ac:dyDescent="0.25">
      <c r="B119" s="28"/>
      <c r="D119" s="2" t="str">
        <f>IF(E119="","",IF($D$1="ORDER BOOK",GetActionStrOrder(X119, H119, T119),IF($D$1="POSITIONS",GetActionStrPosition(F119, S119),"")))</f>
        <v/>
      </c>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row>
    <row r="120" spans="2:33" x14ac:dyDescent="0.25">
      <c r="B120" s="28"/>
      <c r="D120" s="2" t="str">
        <f>IF(E120="","",IF($D$1="ORDER BOOK",GetActionStrOrder(X120, H120, T120),IF($D$1="POSITIONS",GetActionStrPosition(F120, S120),"")))</f>
        <v/>
      </c>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row>
    <row r="121" spans="2:33" x14ac:dyDescent="0.25">
      <c r="B121" s="28"/>
      <c r="D121" s="2" t="str">
        <f>IF(E121="","",IF($D$1="ORDER BOOK",GetActionStrOrder(X121, H121, T121),IF($D$1="POSITIONS",GetActionStrPosition(F121, S121),"")))</f>
        <v/>
      </c>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row>
    <row r="122" spans="2:33" x14ac:dyDescent="0.25">
      <c r="B122" s="28"/>
      <c r="D122" s="2" t="str">
        <f>IF(E122="","",IF($D$1="ORDER BOOK",GetActionStrOrder(X122, H122, T122),IF($D$1="POSITIONS",GetActionStrPosition(F122, S122),"")))</f>
        <v/>
      </c>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row>
    <row r="123" spans="2:33" x14ac:dyDescent="0.25">
      <c r="B123" s="28"/>
      <c r="D123" s="2" t="str">
        <f>IF(E123="","",IF($D$1="ORDER BOOK",GetActionStrOrder(X123, H123, T123),IF($D$1="POSITIONS",GetActionStrPosition(F123, S123),"")))</f>
        <v/>
      </c>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row>
    <row r="124" spans="2:33" x14ac:dyDescent="0.25">
      <c r="B124" s="28"/>
      <c r="D124" s="2" t="str">
        <f>IF(E124="","",IF($D$1="ORDER BOOK",GetActionStrOrder(X124, H124, T124),IF($D$1="POSITIONS",GetActionStrPosition(F124, S124),"")))</f>
        <v/>
      </c>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row>
    <row r="125" spans="2:33" x14ac:dyDescent="0.25">
      <c r="B125" s="28"/>
      <c r="D125" s="2" t="str">
        <f>IF(E125="","",IF($D$1="ORDER BOOK",GetActionStrOrder(X125, H125, T125),IF($D$1="POSITIONS",GetActionStrPosition(F125, S125),"")))</f>
        <v/>
      </c>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row>
    <row r="126" spans="2:33" x14ac:dyDescent="0.25">
      <c r="B126" s="28"/>
      <c r="D126" s="2" t="str">
        <f>IF(E126="","",IF($D$1="ORDER BOOK",GetActionStrOrder(X126, H126, T126),IF($D$1="POSITIONS",GetActionStrPosition(F126, S126),"")))</f>
        <v/>
      </c>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row>
    <row r="127" spans="2:33" x14ac:dyDescent="0.25">
      <c r="B127" s="28"/>
      <c r="D127" s="2" t="str">
        <f>IF(E127="","",IF($D$1="ORDER BOOK",GetActionStrOrder(X127, H127, T127),IF($D$1="POSITIONS",GetActionStrPosition(F127, S127),"")))</f>
        <v/>
      </c>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row>
    <row r="128" spans="2:33" x14ac:dyDescent="0.25">
      <c r="B128" s="28"/>
      <c r="D128" s="2" t="str">
        <f>IF(E128="","",IF($D$1="ORDER BOOK",GetActionStrOrder(X128, H128, T128),IF($D$1="POSITIONS",GetActionStrPosition(F128, S128),"")))</f>
        <v/>
      </c>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row>
    <row r="129" spans="2:33" x14ac:dyDescent="0.25">
      <c r="B129" s="28"/>
      <c r="D129" s="2" t="str">
        <f>IF(E129="","",IF($D$1="ORDER BOOK",GetActionStrOrder(X129, H129, T129),IF($D$1="POSITIONS",GetActionStrPosition(F129, S129),"")))</f>
        <v/>
      </c>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row>
    <row r="130" spans="2:33" x14ac:dyDescent="0.25">
      <c r="B130" s="28"/>
      <c r="D130" s="2" t="str">
        <f>IF(E130="","",IF($D$1="ORDER BOOK",GetActionStrOrder(X130, H130, T130),IF($D$1="POSITIONS",GetActionStrPosition(F130, S130),"")))</f>
        <v/>
      </c>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row>
    <row r="131" spans="2:33" x14ac:dyDescent="0.25">
      <c r="B131" s="28"/>
      <c r="D131" s="2" t="str">
        <f>IF(E131="","",IF($D$1="ORDER BOOK",GetActionStrOrder(X131, H131, T131),IF($D$1="POSITIONS",GetActionStrPosition(F131, S131),"")))</f>
        <v/>
      </c>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row>
    <row r="132" spans="2:33" x14ac:dyDescent="0.25">
      <c r="B132" s="28"/>
      <c r="D132" s="2" t="str">
        <f>IF(E132="","",IF($D$1="ORDER BOOK",GetActionStrOrder(X132, H132, T132),IF($D$1="POSITIONS",GetActionStrPosition(F132, S132),"")))</f>
        <v/>
      </c>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row>
    <row r="133" spans="2:33" x14ac:dyDescent="0.25">
      <c r="B133" s="28"/>
      <c r="D133" s="2" t="str">
        <f>IF(E133="","",IF($D$1="ORDER BOOK",GetActionStrOrder(X133, H133, T133),IF($D$1="POSITIONS",GetActionStrPosition(F133, S133),"")))</f>
        <v/>
      </c>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row>
    <row r="134" spans="2:33" x14ac:dyDescent="0.25">
      <c r="B134" s="28"/>
      <c r="D134" s="2" t="str">
        <f>IF(E134="","",IF($D$1="ORDER BOOK",GetActionStrOrder(X134, H134, T134),IF($D$1="POSITIONS",GetActionStrPosition(F134, S134),"")))</f>
        <v/>
      </c>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row>
    <row r="135" spans="2:33" x14ac:dyDescent="0.25">
      <c r="B135" s="28"/>
      <c r="D135" s="2" t="str">
        <f>IF(E135="","",IF($D$1="ORDER BOOK",GetActionStrOrder(X135, H135, T135),IF($D$1="POSITIONS",GetActionStrPosition(F135, S135),"")))</f>
        <v/>
      </c>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row>
    <row r="136" spans="2:33" x14ac:dyDescent="0.25">
      <c r="B136" s="28"/>
      <c r="D136" s="2" t="str">
        <f>IF(E136="","",IF($D$1="ORDER BOOK",GetActionStrOrder(X136, H136, T136),IF($D$1="POSITIONS",GetActionStrPosition(F136, S136),"")))</f>
        <v/>
      </c>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row>
    <row r="137" spans="2:33" x14ac:dyDescent="0.25">
      <c r="B137" s="28"/>
      <c r="D137" s="2" t="str">
        <f>IF(E137="","",IF($D$1="ORDER BOOK",GetActionStrOrder(X137, H137, T137),IF($D$1="POSITIONS",GetActionStrPosition(F137, S137),"")))</f>
        <v/>
      </c>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row>
    <row r="138" spans="2:33" x14ac:dyDescent="0.25">
      <c r="B138" s="28"/>
      <c r="D138" s="2" t="str">
        <f>IF(E138="","",IF($D$1="ORDER BOOK",GetActionStrOrder(X138, H138, T138),IF($D$1="POSITIONS",GetActionStrPosition(F138, S138),"")))</f>
        <v/>
      </c>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row>
    <row r="139" spans="2:33" x14ac:dyDescent="0.25">
      <c r="B139" s="28"/>
      <c r="D139" s="2" t="str">
        <f>IF(E139="","",IF($D$1="ORDER BOOK",GetActionStrOrder(X139, H139, T139),IF($D$1="POSITIONS",GetActionStrPosition(F139, S139),"")))</f>
        <v/>
      </c>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row>
    <row r="140" spans="2:33" x14ac:dyDescent="0.25">
      <c r="B140" s="28"/>
      <c r="D140" s="2" t="str">
        <f>IF(E140="","",IF($D$1="ORDER BOOK",GetActionStrOrder(X140, H140, T140),IF($D$1="POSITIONS",GetActionStrPosition(F140, S140),"")))</f>
        <v/>
      </c>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row>
    <row r="141" spans="2:33" x14ac:dyDescent="0.25">
      <c r="B141" s="28"/>
      <c r="D141" s="2" t="str">
        <f>IF(E141="","",IF($D$1="ORDER BOOK",GetActionStrOrder(X141, H141, T141),IF($D$1="POSITIONS",GetActionStrPosition(F141, S141),"")))</f>
        <v/>
      </c>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row>
    <row r="142" spans="2:33" x14ac:dyDescent="0.25">
      <c r="B142" s="28"/>
      <c r="D142" s="2" t="str">
        <f>IF(E142="","",IF($D$1="ORDER BOOK",GetActionStrOrder(X142, H142, T142),IF($D$1="POSITIONS",GetActionStrPosition(F142, S142),"")))</f>
        <v/>
      </c>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row>
    <row r="143" spans="2:33" x14ac:dyDescent="0.25">
      <c r="B143" s="28"/>
      <c r="D143" s="2" t="str">
        <f>IF(E143="","",IF($D$1="ORDER BOOK",GetActionStrOrder(X143, H143, T143),IF($D$1="POSITIONS",GetActionStrPosition(F143, S143),"")))</f>
        <v/>
      </c>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row>
    <row r="144" spans="2:33" x14ac:dyDescent="0.25">
      <c r="B144" s="28"/>
      <c r="D144" s="2" t="str">
        <f>IF(E144="","",IF($D$1="ORDER BOOK",GetActionStrOrder(X144, H144, T144),IF($D$1="POSITIONS",GetActionStrPosition(F144, S144),"")))</f>
        <v/>
      </c>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row>
    <row r="145" spans="2:33" x14ac:dyDescent="0.25">
      <c r="B145" s="28"/>
      <c r="D145" s="2" t="str">
        <f>IF(E145="","",IF($D$1="ORDER BOOK",GetActionStrOrder(X145, H145, T145),IF($D$1="POSITIONS",GetActionStrPosition(F145, S145),"")))</f>
        <v/>
      </c>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row>
    <row r="146" spans="2:33" x14ac:dyDescent="0.25">
      <c r="B146" s="28"/>
      <c r="D146" s="2" t="str">
        <f>IF(E146="","",IF($D$1="ORDER BOOK",GetActionStrOrder(X146, H146, T146),IF($D$1="POSITIONS",GetActionStrPosition(F146, S146),"")))</f>
        <v/>
      </c>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row>
    <row r="147" spans="2:33" x14ac:dyDescent="0.25">
      <c r="B147" s="28"/>
      <c r="D147" s="2" t="str">
        <f>IF(E147="","",IF($D$1="ORDER BOOK",GetActionStrOrder(X147, H147, T147),IF($D$1="POSITIONS",GetActionStrPosition(F147, S147),"")))</f>
        <v/>
      </c>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row>
    <row r="148" spans="2:33" x14ac:dyDescent="0.25">
      <c r="B148" s="28"/>
      <c r="D148" s="2" t="str">
        <f>IF(E148="","",IF($D$1="ORDER BOOK",GetActionStrOrder(X148, H148, T148),IF($D$1="POSITIONS",GetActionStrPosition(F148, S148),"")))</f>
        <v/>
      </c>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row>
    <row r="149" spans="2:33" x14ac:dyDescent="0.25">
      <c r="B149" s="28"/>
      <c r="D149" s="2" t="str">
        <f>IF(E149="","",IF($D$1="ORDER BOOK",GetActionStrOrder(X149, H149, T149),IF($D$1="POSITIONS",GetActionStrPosition(F149, S149),"")))</f>
        <v/>
      </c>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row>
    <row r="150" spans="2:33" x14ac:dyDescent="0.25">
      <c r="B150" s="28"/>
      <c r="D150" s="2" t="str">
        <f>IF(E150="","",IF($D$1="ORDER BOOK",GetActionStrOrder(X150, H150, T150),IF($D$1="POSITIONS",GetActionStrPosition(F150, S150),"")))</f>
        <v/>
      </c>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row>
    <row r="151" spans="2:33" x14ac:dyDescent="0.25">
      <c r="B151" s="28"/>
      <c r="D151" s="2" t="str">
        <f>IF(E151="","",IF($D$1="ORDER BOOK",GetActionStrOrder(X151, H151, T151),IF($D$1="POSITIONS",GetActionStrPosition(F151, S151),"")))</f>
        <v/>
      </c>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row>
    <row r="152" spans="2:33" x14ac:dyDescent="0.25">
      <c r="B152" s="28"/>
      <c r="D152" s="2" t="str">
        <f>IF(E152="","",IF($D$1="ORDER BOOK",GetActionStrOrder(X152, H152, T152),IF($D$1="POSITIONS",GetActionStrPosition(F152, S152),"")))</f>
        <v/>
      </c>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row>
    <row r="153" spans="2:33" x14ac:dyDescent="0.25">
      <c r="B153" s="28"/>
      <c r="D153" s="2" t="str">
        <f>IF(E153="","",IF($D$1="ORDER BOOK",GetActionStrOrder(X153, H153, T153),IF($D$1="POSITIONS",GetActionStrPosition(F153, S153),"")))</f>
        <v/>
      </c>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row>
    <row r="154" spans="2:33" x14ac:dyDescent="0.25">
      <c r="B154" s="28"/>
      <c r="D154" s="2" t="str">
        <f>IF(E154="","",IF($D$1="ORDER BOOK",GetActionStrOrder(X154, H154, T154),IF($D$1="POSITIONS",GetActionStrPosition(F154, S154),"")))</f>
        <v/>
      </c>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row>
    <row r="155" spans="2:33" x14ac:dyDescent="0.25">
      <c r="B155" s="28"/>
      <c r="D155" s="2" t="str">
        <f>IF(E155="","",IF($D$1="ORDER BOOK",GetActionStrOrder(X155, H155, T155),IF($D$1="POSITIONS",GetActionStrPosition(F155, S155),"")))</f>
        <v/>
      </c>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row>
    <row r="156" spans="2:33" x14ac:dyDescent="0.25">
      <c r="B156" s="28"/>
      <c r="D156" s="2" t="str">
        <f>IF(E156="","",IF($D$1="ORDER BOOK",GetActionStrOrder(X156, H156, T156),IF($D$1="POSITIONS",GetActionStrPosition(F156, S156),"")))</f>
        <v/>
      </c>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row>
    <row r="157" spans="2:33" x14ac:dyDescent="0.25">
      <c r="B157" s="28"/>
      <c r="D157" s="2" t="str">
        <f>IF(E157="","",IF($D$1="ORDER BOOK",GetActionStrOrder(X157, H157, T157),IF($D$1="POSITIONS",GetActionStrPosition(F157, S157),"")))</f>
        <v/>
      </c>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row>
    <row r="158" spans="2:33" x14ac:dyDescent="0.25">
      <c r="B158" s="28"/>
      <c r="D158" s="2" t="str">
        <f>IF(E158="","",IF($D$1="ORDER BOOK",GetActionStrOrder(X158, H158, T158),IF($D$1="POSITIONS",GetActionStrPosition(F158, S158),"")))</f>
        <v/>
      </c>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row>
    <row r="159" spans="2:33" x14ac:dyDescent="0.25">
      <c r="B159" s="28"/>
      <c r="D159" s="2" t="str">
        <f>IF(E159="","",IF($D$1="ORDER BOOK",GetActionStrOrder(X159, H159, T159),IF($D$1="POSITIONS",GetActionStrPosition(F159, S159),"")))</f>
        <v/>
      </c>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row>
    <row r="160" spans="2:33" x14ac:dyDescent="0.25">
      <c r="B160" s="28"/>
      <c r="D160" s="2" t="str">
        <f>IF(E160="","",IF($D$1="ORDER BOOK",GetActionStrOrder(X160, H160, T160),IF($D$1="POSITIONS",GetActionStrPosition(F160, S160),"")))</f>
        <v/>
      </c>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row>
    <row r="161" spans="2:33" x14ac:dyDescent="0.25">
      <c r="B161" s="28"/>
      <c r="D161" s="2" t="str">
        <f>IF(E161="","",IF($D$1="ORDER BOOK",GetActionStrOrder(X161, H161, T161),IF($D$1="POSITIONS",GetActionStrPosition(F161, S161),"")))</f>
        <v/>
      </c>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row>
    <row r="162" spans="2:33" x14ac:dyDescent="0.25">
      <c r="B162" s="28"/>
      <c r="D162" s="2" t="str">
        <f>IF(E162="","",IF($D$1="ORDER BOOK",GetActionStrOrder(X162, H162, T162),IF($D$1="POSITIONS",GetActionStrPosition(F162, S162),"")))</f>
        <v/>
      </c>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row>
    <row r="163" spans="2:33" x14ac:dyDescent="0.25">
      <c r="B163" s="28"/>
      <c r="D163" s="2" t="str">
        <f>IF(E163="","",IF($D$1="ORDER BOOK",GetActionStrOrder(X163, H163, T163),IF($D$1="POSITIONS",GetActionStrPosition(F163, S163),"")))</f>
        <v/>
      </c>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row>
    <row r="164" spans="2:33" x14ac:dyDescent="0.25">
      <c r="B164" s="28"/>
      <c r="D164" s="2" t="str">
        <f>IF(E164="","",IF($D$1="ORDER BOOK",GetActionStrOrder(X164, H164, T164),IF($D$1="POSITIONS",GetActionStrPosition(F164, S164),"")))</f>
        <v/>
      </c>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row>
    <row r="165" spans="2:33" x14ac:dyDescent="0.25">
      <c r="B165" s="28"/>
      <c r="D165" s="2" t="str">
        <f>IF(E165="","",IF($D$1="ORDER BOOK",GetActionStrOrder(X165, H165, T165),IF($D$1="POSITIONS",GetActionStrPosition(F165, S165),"")))</f>
        <v/>
      </c>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row>
    <row r="166" spans="2:33" x14ac:dyDescent="0.25">
      <c r="B166" s="28"/>
      <c r="D166" s="2" t="str">
        <f>IF(E166="","",IF($D$1="ORDER BOOK",GetActionStrOrder(X166, H166, T166),IF($D$1="POSITIONS",GetActionStrPosition(F166, S166),"")))</f>
        <v/>
      </c>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row>
    <row r="167" spans="2:33" x14ac:dyDescent="0.25">
      <c r="B167" s="28"/>
      <c r="D167" s="2" t="str">
        <f>IF(E167="","",IF($D$1="ORDER BOOK",GetActionStrOrder(X167, H167, T167),IF($D$1="POSITIONS",GetActionStrPosition(F167, S167),"")))</f>
        <v/>
      </c>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row>
    <row r="168" spans="2:33" x14ac:dyDescent="0.25">
      <c r="B168" s="28"/>
      <c r="D168" s="2" t="str">
        <f>IF(E168="","",IF($D$1="ORDER BOOK",GetActionStrOrder(X168, H168, T168),IF($D$1="POSITIONS",GetActionStrPosition(F168, S168),"")))</f>
        <v/>
      </c>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row>
    <row r="169" spans="2:33" x14ac:dyDescent="0.25">
      <c r="B169" s="28"/>
      <c r="D169" s="2" t="str">
        <f>IF(E169="","",IF($D$1="ORDER BOOK",GetActionStrOrder(X169, H169, T169),IF($D$1="POSITIONS",GetActionStrPosition(F169, S169),"")))</f>
        <v/>
      </c>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row>
    <row r="170" spans="2:33" x14ac:dyDescent="0.25">
      <c r="B170" s="28"/>
      <c r="D170" s="2" t="str">
        <f>IF(E170="","",IF($D$1="ORDER BOOK",GetActionStrOrder(X170, H170, T170),IF($D$1="POSITIONS",GetActionStrPosition(F170, S170),"")))</f>
        <v/>
      </c>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row>
    <row r="171" spans="2:33" x14ac:dyDescent="0.25">
      <c r="B171" s="28"/>
      <c r="D171" s="2" t="str">
        <f>IF(E171="","",IF($D$1="ORDER BOOK",GetActionStrOrder(X171, H171, T171),IF($D$1="POSITIONS",GetActionStrPosition(F171, S171),"")))</f>
        <v/>
      </c>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row>
    <row r="172" spans="2:33" x14ac:dyDescent="0.25">
      <c r="B172" s="28"/>
      <c r="D172" s="2" t="str">
        <f>IF(E172="","",IF($D$1="ORDER BOOK",GetActionStrOrder(X172, H172, T172),IF($D$1="POSITIONS",GetActionStrPosition(F172, S172),"")))</f>
        <v/>
      </c>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row>
    <row r="173" spans="2:33" x14ac:dyDescent="0.25">
      <c r="B173" s="28"/>
      <c r="D173" s="2" t="str">
        <f>IF(E173="","",IF($D$1="ORDER BOOK",GetActionStrOrder(X173, H173, T173),IF($D$1="POSITIONS",GetActionStrPosition(F173, S173),"")))</f>
        <v/>
      </c>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row>
    <row r="174" spans="2:33" x14ac:dyDescent="0.25">
      <c r="B174" s="28"/>
      <c r="D174" s="2" t="str">
        <f>IF(E174="","",IF($D$1="ORDER BOOK",GetActionStrOrder(X174, H174, T174),IF($D$1="POSITIONS",GetActionStrPosition(F174, S174),"")))</f>
        <v/>
      </c>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row>
    <row r="175" spans="2:33" x14ac:dyDescent="0.25">
      <c r="B175" s="28"/>
      <c r="D175" s="2" t="str">
        <f>IF(E175="","",IF($D$1="ORDER BOOK",GetActionStrOrder(X175, H175, T175),IF($D$1="POSITIONS",GetActionStrPosition(F175, S175),"")))</f>
        <v/>
      </c>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row>
    <row r="176" spans="2:33" x14ac:dyDescent="0.25">
      <c r="B176" s="28"/>
      <c r="D176" s="2" t="str">
        <f>IF(E176="","",IF($D$1="ORDER BOOK",GetActionStrOrder(X176, H176, T176),IF($D$1="POSITIONS",GetActionStrPosition(F176, S176),"")))</f>
        <v/>
      </c>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row>
    <row r="177" spans="2:33" x14ac:dyDescent="0.25">
      <c r="B177" s="28"/>
      <c r="D177" s="2" t="str">
        <f>IF(E177="","",IF($D$1="ORDER BOOK",GetActionStrOrder(X177, H177, T177),IF($D$1="POSITIONS",GetActionStrPosition(F177, S177),"")))</f>
        <v/>
      </c>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row>
    <row r="178" spans="2:33" x14ac:dyDescent="0.25">
      <c r="B178" s="28"/>
      <c r="D178" s="2" t="str">
        <f>IF(E178="","",IF($D$1="ORDER BOOK",GetActionStrOrder(X178, H178, T178),IF($D$1="POSITIONS",GetActionStrPosition(F178, S178),"")))</f>
        <v/>
      </c>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row>
    <row r="179" spans="2:33" x14ac:dyDescent="0.25">
      <c r="B179" s="28"/>
      <c r="D179" s="2" t="str">
        <f>IF(E179="","",IF($D$1="ORDER BOOK",GetActionStrOrder(X179, H179, T179),IF($D$1="POSITIONS",GetActionStrPosition(F179, S179),"")))</f>
        <v/>
      </c>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row>
    <row r="180" spans="2:33" x14ac:dyDescent="0.25">
      <c r="B180" s="28"/>
      <c r="D180" s="2" t="str">
        <f>IF(E180="","",IF($D$1="ORDER BOOK",GetActionStrOrder(X180, H180, T180),IF($D$1="POSITIONS",GetActionStrPosition(F180, S180),"")))</f>
        <v/>
      </c>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row>
    <row r="181" spans="2:33" x14ac:dyDescent="0.25">
      <c r="B181" s="28"/>
      <c r="D181" s="2" t="str">
        <f>IF(E181="","",IF($D$1="ORDER BOOK",GetActionStrOrder(X181, H181, T181),IF($D$1="POSITIONS",GetActionStrPosition(F181, S181),"")))</f>
        <v/>
      </c>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row>
    <row r="182" spans="2:33" x14ac:dyDescent="0.25">
      <c r="B182" s="28"/>
      <c r="D182" s="2" t="str">
        <f>IF(E182="","",IF($D$1="ORDER BOOK",GetActionStrOrder(X182, H182, T182),IF($D$1="POSITIONS",GetActionStrPosition(F182, S182),"")))</f>
        <v/>
      </c>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row>
    <row r="183" spans="2:33" x14ac:dyDescent="0.25">
      <c r="B183" s="28"/>
      <c r="D183" s="2" t="str">
        <f>IF(E183="","",IF($D$1="ORDER BOOK",GetActionStrOrder(X183, H183, T183),IF($D$1="POSITIONS",GetActionStrPosition(F183, S183),"")))</f>
        <v/>
      </c>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row>
    <row r="184" spans="2:33" x14ac:dyDescent="0.25">
      <c r="B184" s="28"/>
      <c r="D184" s="2" t="str">
        <f>IF(E184="","",IF($D$1="ORDER BOOK",GetActionStrOrder(X184, H184, T184),IF($D$1="POSITIONS",GetActionStrPosition(F184, S184),"")))</f>
        <v/>
      </c>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row>
    <row r="185" spans="2:33" x14ac:dyDescent="0.25">
      <c r="B185" s="28"/>
      <c r="D185" s="2" t="str">
        <f>IF(E185="","",IF($D$1="ORDER BOOK",GetActionStrOrder(X185, H185, T185),IF($D$1="POSITIONS",GetActionStrPosition(F185, S185),"")))</f>
        <v/>
      </c>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row>
    <row r="186" spans="2:33" x14ac:dyDescent="0.25">
      <c r="B186" s="28"/>
      <c r="D186" s="2" t="str">
        <f>IF(E186="","",IF($D$1="ORDER BOOK",GetActionStrOrder(X186, H186, T186),IF($D$1="POSITIONS",GetActionStrPosition(F186, S186),"")))</f>
        <v/>
      </c>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row>
    <row r="187" spans="2:33" x14ac:dyDescent="0.25">
      <c r="B187" s="28"/>
      <c r="D187" s="2" t="str">
        <f>IF(E187="","",IF($D$1="ORDER BOOK",GetActionStrOrder(X187, H187, T187),IF($D$1="POSITIONS",GetActionStrPosition(F187, S187),"")))</f>
        <v/>
      </c>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row>
    <row r="188" spans="2:33" x14ac:dyDescent="0.25">
      <c r="B188" s="28"/>
      <c r="D188" s="2" t="str">
        <f>IF(E188="","",IF($D$1="ORDER BOOK",GetActionStrOrder(X188, H188, T188),IF($D$1="POSITIONS",GetActionStrPosition(F188, S188),"")))</f>
        <v/>
      </c>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row>
    <row r="189" spans="2:33" x14ac:dyDescent="0.25">
      <c r="B189" s="28"/>
      <c r="D189" s="2" t="str">
        <f>IF(E189="","",IF($D$1="ORDER BOOK",GetActionStrOrder(X189, H189, T189),IF($D$1="POSITIONS",GetActionStrPosition(F189, S189),"")))</f>
        <v/>
      </c>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row>
    <row r="190" spans="2:33" x14ac:dyDescent="0.25">
      <c r="B190" s="28"/>
      <c r="D190" s="2" t="str">
        <f>IF(E190="","",IF($D$1="ORDER BOOK",GetActionStrOrder(X190, H190, T190),IF($D$1="POSITIONS",GetActionStrPosition(F190, S190),"")))</f>
        <v/>
      </c>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row>
    <row r="191" spans="2:33" x14ac:dyDescent="0.25">
      <c r="B191" s="28"/>
      <c r="D191" s="2" t="str">
        <f>IF(E191="","",IF($D$1="ORDER BOOK",GetActionStrOrder(X191, H191, T191),IF($D$1="POSITIONS",GetActionStrPosition(F191, S191),"")))</f>
        <v/>
      </c>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row>
    <row r="192" spans="2:33" x14ac:dyDescent="0.25">
      <c r="B192" s="28"/>
      <c r="D192" s="2" t="str">
        <f>IF(E192="","",IF($D$1="ORDER BOOK",GetActionStrOrder(X192, H192, T192),IF($D$1="POSITIONS",GetActionStrPosition(F192, S192),"")))</f>
        <v/>
      </c>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row>
    <row r="193" spans="2:33" x14ac:dyDescent="0.25">
      <c r="B193" s="28"/>
      <c r="D193" s="2" t="str">
        <f>IF(E193="","",IF($D$1="ORDER BOOK",GetActionStrOrder(X193, H193, T193),IF($D$1="POSITIONS",GetActionStrPosition(F193, S193),"")))</f>
        <v/>
      </c>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row>
    <row r="194" spans="2:33" x14ac:dyDescent="0.25">
      <c r="B194" s="28"/>
      <c r="D194" s="2" t="str">
        <f>IF(E194="","",IF($D$1="ORDER BOOK",GetActionStrOrder(X194, H194, T194),IF($D$1="POSITIONS",GetActionStrPosition(F194, S194),"")))</f>
        <v/>
      </c>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row>
    <row r="195" spans="2:33" x14ac:dyDescent="0.25">
      <c r="B195" s="28"/>
      <c r="D195" s="2" t="str">
        <f>IF(E195="","",IF($D$1="ORDER BOOK",GetActionStrOrder(X195, H195, T195),IF($D$1="POSITIONS",GetActionStrPosition(F195, S195),"")))</f>
        <v/>
      </c>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row>
    <row r="196" spans="2:33" x14ac:dyDescent="0.25">
      <c r="B196" s="28"/>
      <c r="D196" s="2" t="str">
        <f>IF(E196="","",IF($D$1="ORDER BOOK",GetActionStrOrder(X196, H196, T196),IF($D$1="POSITIONS",GetActionStrPosition(F196, S196),"")))</f>
        <v/>
      </c>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row>
    <row r="197" spans="2:33" x14ac:dyDescent="0.25">
      <c r="B197" s="28"/>
      <c r="D197" s="2" t="str">
        <f>IF(E197="","",IF($D$1="ORDER BOOK",GetActionStrOrder(X197, H197, T197),IF($D$1="POSITIONS",GetActionStrPosition(F197, S197),"")))</f>
        <v/>
      </c>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row>
    <row r="198" spans="2:33" x14ac:dyDescent="0.25">
      <c r="B198" s="28"/>
      <c r="D198" s="2" t="str">
        <f>IF(E198="","",IF($D$1="ORDER BOOK",GetActionStrOrder(X198, H198, T198),IF($D$1="POSITIONS",GetActionStrPosition(F198, S198),"")))</f>
        <v/>
      </c>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row>
    <row r="199" spans="2:33" x14ac:dyDescent="0.25">
      <c r="B199" s="28"/>
      <c r="D199" s="2" t="str">
        <f>IF(E199="","",IF($D$1="ORDER BOOK",GetActionStrOrder(X199, H199, T199),IF($D$1="POSITIONS",GetActionStrPosition(F199, S199),"")))</f>
        <v/>
      </c>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row>
    <row r="200" spans="2:33" x14ac:dyDescent="0.25">
      <c r="B200" s="28"/>
      <c r="D200" s="2" t="str">
        <f>IF(E200="","",IF($D$1="ORDER BOOK",GetActionStrOrder(X200, H200, T200),IF($D$1="POSITIONS",GetActionStrPosition(F200, S200),"")))</f>
        <v/>
      </c>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row>
    <row r="201" spans="2:33" x14ac:dyDescent="0.25">
      <c r="B201" s="29"/>
      <c r="D201" s="2" t="str">
        <f>IF(E201="","",IF($D$1="ORDER BOOK",GetActionStrOrder(X201, H201, T201),IF($D$1="POSITIONS",GetActionStrPosition(F201, S201),"")))</f>
        <v/>
      </c>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row>
    <row r="202" spans="2:33" x14ac:dyDescent="0.25">
      <c r="D202" s="2" t="str">
        <f>IF(E202="","",IF($D$1="ORDER BOOK",GetActionStrOrder(X202, H202, T202),IF($D$1="POSITIONS",GetActionStrPosition(F202, S202),"")))</f>
        <v/>
      </c>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row>
    <row r="203" spans="2:33" x14ac:dyDescent="0.25">
      <c r="D203" s="2" t="str">
        <f>IF(E203="","",IF($D$1="ORDER BOOK",GetActionStrOrder(X203, H203, T203),IF($D$1="POSITIONS",GetActionStrPosition(F203, S203),"")))</f>
        <v/>
      </c>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row>
    <row r="204" spans="2:33" x14ac:dyDescent="0.25">
      <c r="D204" s="2" t="str">
        <f>IF(E204="","",IF($D$1="ORDER BOOK",GetActionStrOrder(X204, H204, T204),IF($D$1="POSITIONS",GetActionStrPosition(F204, S204),"")))</f>
        <v/>
      </c>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row>
    <row r="205" spans="2:33" x14ac:dyDescent="0.25">
      <c r="D205" s="2" t="str">
        <f>IF(E205="","",IF($D$1="ORDER BOOK",GetActionStrOrder(X205, H205, T205),IF($D$1="POSITIONS",GetActionStrPosition(F205, S205),"")))</f>
        <v/>
      </c>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row>
    <row r="206" spans="2:33" x14ac:dyDescent="0.25">
      <c r="D206" s="2" t="str">
        <f>IF(E206="","",IF($D$1="ORDER BOOK",GetActionStrOrder(X206, H206, T206),IF($D$1="POSITIONS",GetActionStrPosition(F206, S206),"")))</f>
        <v/>
      </c>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row>
    <row r="207" spans="2:33" x14ac:dyDescent="0.25">
      <c r="D207" s="2" t="str">
        <f>IF(E207="","",IF($D$1="ORDER BOOK",GetActionStrOrder(X207, H207, T207),IF($D$1="POSITIONS",GetActionStrPosition(F207, S207),"")))</f>
        <v/>
      </c>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row>
    <row r="208" spans="2:33" x14ac:dyDescent="0.25">
      <c r="D208" s="2" t="str">
        <f>IF(E208="","",IF($D$1="ORDER BOOK",GetActionStrOrder(X208, H208, T208),IF($D$1="POSITIONS",GetActionStrPosition(F208, S208),"")))</f>
        <v/>
      </c>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row>
    <row r="209" spans="4:33" x14ac:dyDescent="0.25">
      <c r="D209" s="2" t="str">
        <f>IF(E209="","",IF($D$1="ORDER BOOK",GetActionStrOrder(X209, H209, T209),IF($D$1="POSITIONS",GetActionStrPosition(F209, S209),"")))</f>
        <v/>
      </c>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row>
    <row r="210" spans="4:33" x14ac:dyDescent="0.25">
      <c r="D210" s="2" t="str">
        <f>IF(E210="","",IF($D$1="ORDER BOOK",GetActionStrOrder(X210, H210, T210),IF($D$1="POSITIONS",GetActionStrPosition(F210, S210),"")))</f>
        <v/>
      </c>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row>
    <row r="211" spans="4:33" x14ac:dyDescent="0.25">
      <c r="D211" s="2" t="str">
        <f>IF(E211="","",IF($D$1="ORDER BOOK",GetActionStrOrder(X211, H211, T211),IF($D$1="POSITIONS",GetActionStrPosition(F211, S211),"")))</f>
        <v/>
      </c>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row>
    <row r="212" spans="4:33" x14ac:dyDescent="0.25">
      <c r="D212" s="2" t="str">
        <f>IF(E212="","",IF($D$1="ORDER BOOK",GetActionStrOrder(X212, H212, T212),IF($D$1="POSITIONS",GetActionStrPosition(F212, S212),"")))</f>
        <v/>
      </c>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row>
    <row r="213" spans="4:33" x14ac:dyDescent="0.25">
      <c r="D213" s="2" t="str">
        <f>IF(E213="","",IF($D$1="ORDER BOOK",GetActionStrOrder(X213, H213, T213),IF($D$1="POSITIONS",GetActionStrPosition(F213, S213),"")))</f>
        <v/>
      </c>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row>
    <row r="214" spans="4:33" x14ac:dyDescent="0.25">
      <c r="D214" s="2" t="str">
        <f>IF(E214="","",IF($D$1="ORDER BOOK",GetActionStrOrder(X214, H214, T214),IF($D$1="POSITIONS",GetActionStrPosition(F214, S214),"")))</f>
        <v/>
      </c>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row>
    <row r="215" spans="4:33" x14ac:dyDescent="0.25">
      <c r="D215" s="2" t="str">
        <f>IF(E215="","",IF($D$1="ORDER BOOK",GetActionStrOrder(X215, H215, T215),IF($D$1="POSITIONS",GetActionStrPosition(F215, S215),"")))</f>
        <v/>
      </c>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row>
    <row r="216" spans="4:33" x14ac:dyDescent="0.25">
      <c r="D216" s="2" t="str">
        <f>IF(E216="","",IF($D$1="ORDER BOOK",GetActionStrOrder(X216, H216, T216),IF($D$1="POSITIONS",GetActionStrPosition(F216, S216),"")))</f>
        <v/>
      </c>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row>
    <row r="217" spans="4:33" x14ac:dyDescent="0.25">
      <c r="D217" s="2" t="str">
        <f>IF(E217="","",IF($D$1="ORDER BOOK",GetActionStrOrder(X217, H217, T217),IF($D$1="POSITIONS",GetActionStrPosition(F217, S217),"")))</f>
        <v/>
      </c>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row>
    <row r="218" spans="4:33" x14ac:dyDescent="0.25">
      <c r="D218" s="2" t="str">
        <f>IF(E218="","",IF($D$1="ORDER BOOK",GetActionStrOrder(X218, H218, T218),IF($D$1="POSITIONS",GetActionStrPosition(F218, S218),"")))</f>
        <v/>
      </c>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row>
    <row r="219" spans="4:33" x14ac:dyDescent="0.25">
      <c r="D219" s="2" t="str">
        <f>IF(E219="","",IF($D$1="ORDER BOOK",GetActionStrOrder(X219, H219, T219),IF($D$1="POSITIONS",GetActionStrPosition(F219, S219),"")))</f>
        <v/>
      </c>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row>
    <row r="220" spans="4:33" x14ac:dyDescent="0.25">
      <c r="D220" s="2" t="str">
        <f>IF(E220="","",IF($D$1="ORDER BOOK",GetActionStrOrder(X220, H220, T220),IF($D$1="POSITIONS",GetActionStrPosition(F220, S220),"")))</f>
        <v/>
      </c>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row>
    <row r="221" spans="4:33" x14ac:dyDescent="0.25">
      <c r="D221" s="2" t="str">
        <f>IF(E221="","",IF($D$1="ORDER BOOK",GetActionStrOrder(X221, H221, T221),IF($D$1="POSITIONS",GetActionStrPosition(F221, S221),"")))</f>
        <v/>
      </c>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row>
    <row r="222" spans="4:33" x14ac:dyDescent="0.25">
      <c r="D222" s="2" t="str">
        <f>IF(E222="","",IF($D$1="ORDER BOOK",GetActionStrOrder(X222, H222, T222),IF($D$1="POSITIONS",GetActionStrPosition(F222, S222),"")))</f>
        <v/>
      </c>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row>
    <row r="223" spans="4:33" x14ac:dyDescent="0.25">
      <c r="D223" s="2" t="str">
        <f>IF(E223="","",IF($D$1="ORDER BOOK",GetActionStrOrder(X223, H223, T223),IF($D$1="POSITIONS",GetActionStrPosition(F223, S223),"")))</f>
        <v/>
      </c>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row>
    <row r="224" spans="4:33" x14ac:dyDescent="0.25">
      <c r="D224" s="2" t="str">
        <f>IF(E224="","",IF($D$1="ORDER BOOK",GetActionStrOrder(X224, H224, T224),IF($D$1="POSITIONS",GetActionStrPosition(F224, S224),"")))</f>
        <v/>
      </c>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row>
    <row r="225" spans="4:33" x14ac:dyDescent="0.25">
      <c r="D225" s="2" t="str">
        <f>IF(E225="","",IF($D$1="ORDER BOOK",GetActionStrOrder(X225, H225, T225),IF($D$1="POSITIONS",GetActionStrPosition(F225, S225),"")))</f>
        <v/>
      </c>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row>
    <row r="226" spans="4:33" x14ac:dyDescent="0.25">
      <c r="D226" s="2" t="str">
        <f>IF(E226="","",IF($D$1="ORDER BOOK",GetActionStrOrder(X226, H226, T226),IF($D$1="POSITIONS",GetActionStrPosition(F226, S226),"")))</f>
        <v/>
      </c>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row>
    <row r="227" spans="4:33" x14ac:dyDescent="0.25">
      <c r="D227" s="2" t="str">
        <f>IF(E227="","",IF($D$1="ORDER BOOK",GetActionStrOrder(X227, H227, T227),IF($D$1="POSITIONS",GetActionStrPosition(F227, S227),"")))</f>
        <v/>
      </c>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row>
    <row r="228" spans="4:33" x14ac:dyDescent="0.25">
      <c r="D228" s="2" t="str">
        <f>IF(E228="","",IF($D$1="ORDER BOOK",GetActionStrOrder(X228, H228, T228),IF($D$1="POSITIONS",GetActionStrPosition(F228, S228),"")))</f>
        <v/>
      </c>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row>
    <row r="229" spans="4:33" x14ac:dyDescent="0.25">
      <c r="D229" s="2" t="str">
        <f>IF(E229="","",IF($D$1="ORDER BOOK",GetActionStrOrder(X229, H229, T229),IF($D$1="POSITIONS",GetActionStrPosition(F229, S229),"")))</f>
        <v/>
      </c>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row>
    <row r="230" spans="4:33" x14ac:dyDescent="0.25">
      <c r="D230" s="2" t="str">
        <f>IF(E230="","",IF($D$1="ORDER BOOK",GetActionStrOrder(X230, H230, T230),IF($D$1="POSITIONS",GetActionStrPosition(F230, S230),"")))</f>
        <v/>
      </c>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row>
    <row r="231" spans="4:33" x14ac:dyDescent="0.25">
      <c r="D231" s="2" t="str">
        <f>IF(E231="","",IF($D$1="ORDER BOOK",GetActionStrOrder(X231, H231, T231),IF($D$1="POSITIONS",GetActionStrPosition(F231, S231),"")))</f>
        <v/>
      </c>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row>
    <row r="232" spans="4:33" x14ac:dyDescent="0.25">
      <c r="D232" s="2" t="str">
        <f>IF(E232="","",IF($D$1="ORDER BOOK",GetActionStrOrder(X232, H232, T232),IF($D$1="POSITIONS",GetActionStrPosition(F232, S232),"")))</f>
        <v/>
      </c>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row>
    <row r="233" spans="4:33" x14ac:dyDescent="0.25">
      <c r="D233" s="2" t="str">
        <f>IF(E233="","",IF($D$1="ORDER BOOK",GetActionStrOrder(X233, H233, T233),IF($D$1="POSITIONS",GetActionStrPosition(F233, S233),"")))</f>
        <v/>
      </c>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row>
    <row r="234" spans="4:33" x14ac:dyDescent="0.25">
      <c r="D234" s="2" t="str">
        <f>IF(E234="","",IF($D$1="ORDER BOOK",GetActionStrOrder(X234, H234, T234),IF($D$1="POSITIONS",GetActionStrPosition(F234, S234),"")))</f>
        <v/>
      </c>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row>
    <row r="235" spans="4:33" x14ac:dyDescent="0.25">
      <c r="D235" s="2" t="str">
        <f>IF(E235="","",IF($D$1="ORDER BOOK",GetActionStrOrder(X235, H235, T235),IF($D$1="POSITIONS",GetActionStrPosition(F235, S235),"")))</f>
        <v/>
      </c>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row>
    <row r="236" spans="4:33" x14ac:dyDescent="0.25">
      <c r="D236" s="2" t="str">
        <f>IF(E236="","",IF($D$1="ORDER BOOK",GetActionStrOrder(X236, H236, T236),IF($D$1="POSITIONS",GetActionStrPosition(F236, S236),"")))</f>
        <v/>
      </c>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row>
    <row r="237" spans="4:33" x14ac:dyDescent="0.25">
      <c r="D237" s="2" t="str">
        <f>IF(E237="","",IF($D$1="ORDER BOOK",GetActionStrOrder(X237, H237, T237),IF($D$1="POSITIONS",GetActionStrPosition(F237, S237),"")))</f>
        <v/>
      </c>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row>
    <row r="238" spans="4:33" x14ac:dyDescent="0.25">
      <c r="D238" s="2" t="str">
        <f>IF(E238="","",IF($D$1="ORDER BOOK",GetActionStrOrder(X238, H238, T238),IF($D$1="POSITIONS",GetActionStrPosition(F238, S238),"")))</f>
        <v/>
      </c>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row>
    <row r="239" spans="4:33" x14ac:dyDescent="0.25">
      <c r="D239" s="2" t="str">
        <f>IF(E239="","",IF($D$1="ORDER BOOK",GetActionStrOrder(X239, H239, T239),IF($D$1="POSITIONS",GetActionStrPosition(F239, S239),"")))</f>
        <v/>
      </c>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row>
    <row r="240" spans="4:33" x14ac:dyDescent="0.25">
      <c r="D240" s="2" t="str">
        <f>IF(E240="","",IF($D$1="ORDER BOOK",GetActionStrOrder(X240, H240, T240),IF($D$1="POSITIONS",GetActionStrPosition(F240, S240),"")))</f>
        <v/>
      </c>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row>
    <row r="241" spans="4:33" x14ac:dyDescent="0.25">
      <c r="D241" s="2" t="str">
        <f>IF(E241="","",IF($D$1="ORDER BOOK",GetActionStrOrder(X241, H241, T241),IF($D$1="POSITIONS",GetActionStrPosition(F241, S241),"")))</f>
        <v/>
      </c>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row>
    <row r="242" spans="4:33" x14ac:dyDescent="0.25">
      <c r="D242" s="2" t="str">
        <f>IF(E242="","",IF($D$1="ORDER BOOK",GetActionStrOrder(X242, H242, T242),IF($D$1="POSITIONS",GetActionStrPosition(F242, S242),"")))</f>
        <v/>
      </c>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row>
    <row r="243" spans="4:33" x14ac:dyDescent="0.25">
      <c r="D243" s="2" t="str">
        <f>IF(E243="","",IF($D$1="ORDER BOOK",GetActionStrOrder(X243, H243, T243),IF($D$1="POSITIONS",GetActionStrPosition(F243, S243),"")))</f>
        <v/>
      </c>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row>
    <row r="244" spans="4:33" x14ac:dyDescent="0.25">
      <c r="D244" s="2" t="str">
        <f>IF(E244="","",IF($D$1="ORDER BOOK",GetActionStrOrder(X244, H244, T244),IF($D$1="POSITIONS",GetActionStrPosition(F244, S244),"")))</f>
        <v/>
      </c>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row>
    <row r="245" spans="4:33" x14ac:dyDescent="0.25">
      <c r="D245" s="2" t="str">
        <f>IF(E245="","",IF($D$1="ORDER BOOK",GetActionStrOrder(X245, H245, T245),IF($D$1="POSITIONS",GetActionStrPosition(F245, S245),"")))</f>
        <v/>
      </c>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row>
    <row r="246" spans="4:33" x14ac:dyDescent="0.25">
      <c r="D246" s="2" t="str">
        <f>IF(E246="","",IF($D$1="ORDER BOOK",GetActionStrOrder(X246, H246, T246),IF($D$1="POSITIONS",GetActionStrPosition(F246, S246),"")))</f>
        <v/>
      </c>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row>
    <row r="247" spans="4:33" x14ac:dyDescent="0.25">
      <c r="D247" s="2" t="str">
        <f>IF(E247="","",IF($D$1="ORDER BOOK",GetActionStrOrder(X247, H247, T247),IF($D$1="POSITIONS",GetActionStrPosition(F247, S247),"")))</f>
        <v/>
      </c>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row>
    <row r="248" spans="4:33" x14ac:dyDescent="0.25">
      <c r="D248" s="2" t="str">
        <f>IF(E248="","",IF($D$1="ORDER BOOK",GetActionStrOrder(X248, H248, T248),IF($D$1="POSITIONS",GetActionStrPosition(F248, S248),"")))</f>
        <v/>
      </c>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row>
    <row r="249" spans="4:33" x14ac:dyDescent="0.25">
      <c r="D249" s="2" t="str">
        <f>IF(E249="","",IF($D$1="ORDER BOOK",GetActionStrOrder(X249, H249, T249),IF($D$1="POSITIONS",GetActionStrPosition(F249, S249),"")))</f>
        <v/>
      </c>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row>
    <row r="250" spans="4:33" x14ac:dyDescent="0.25">
      <c r="D250" s="2" t="str">
        <f>IF(E250="","",IF($D$1="ORDER BOOK",GetActionStrOrder(X250, H250, T250),IF($D$1="POSITIONS",GetActionStrPosition(F250, S250),"")))</f>
        <v/>
      </c>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row>
    <row r="251" spans="4:33" x14ac:dyDescent="0.25">
      <c r="D251" s="2" t="str">
        <f>IF(E251="","",IF($D$1="ORDER BOOK",GetActionStrOrder(X251, H251, T251),IF($D$1="POSITIONS",GetActionStrPosition(F251, S251),"")))</f>
        <v/>
      </c>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row>
    <row r="252" spans="4:33" x14ac:dyDescent="0.25">
      <c r="D252" s="2" t="str">
        <f>IF(E252="","",IF($D$1="ORDER BOOK",GetActionStrOrder(X252, H252, T252),IF($D$1="POSITIONS",GetActionStrPosition(F252, S252),"")))</f>
        <v/>
      </c>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row>
    <row r="253" spans="4:33" x14ac:dyDescent="0.25">
      <c r="D253" s="2" t="str">
        <f>IF(E253="","",IF($D$1="ORDER BOOK",GetActionStrOrder(X253, H253, T253),IF($D$1="POSITIONS",GetActionStrPosition(F253, S253),"")))</f>
        <v/>
      </c>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row>
    <row r="254" spans="4:33" x14ac:dyDescent="0.25">
      <c r="D254" s="2" t="str">
        <f>IF(E254="","",IF($D$1="ORDER BOOK",GetActionStrOrder(X254, H254, T254),IF($D$1="POSITIONS",GetActionStrPosition(F254, S254),"")))</f>
        <v/>
      </c>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row>
    <row r="255" spans="4:33" x14ac:dyDescent="0.25">
      <c r="D255" s="2" t="str">
        <f>IF(E255="","",IF($D$1="ORDER BOOK",GetActionStrOrder(X255, H255, T255),IF($D$1="POSITIONS",GetActionStrPosition(F255, S255),"")))</f>
        <v/>
      </c>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row>
    <row r="256" spans="4:33" x14ac:dyDescent="0.25">
      <c r="D256" s="2" t="str">
        <f>IF(E256="","",IF($D$1="ORDER BOOK",GetActionStrOrder(X256, H256, T256),IF($D$1="POSITIONS",GetActionStrPosition(F256, S256),"")))</f>
        <v/>
      </c>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row>
    <row r="257" spans="4:33" x14ac:dyDescent="0.25">
      <c r="D257" s="2" t="str">
        <f>IF(E257="","",IF($D$1="ORDER BOOK",GetActionStrOrder(X257, H257, T257),IF($D$1="POSITIONS",GetActionStrPosition(F257, S257),"")))</f>
        <v/>
      </c>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row>
    <row r="258" spans="4:33" x14ac:dyDescent="0.25">
      <c r="D258" s="2" t="str">
        <f>IF(E258="","",IF($D$1="ORDER BOOK",GetActionStrOrder(X258, H258, T258),IF($D$1="POSITIONS",GetActionStrPosition(F258, S258),"")))</f>
        <v/>
      </c>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row>
    <row r="259" spans="4:33" x14ac:dyDescent="0.25">
      <c r="D259" s="2" t="str">
        <f>IF(E259="","",IF($D$1="ORDER BOOK",GetActionStrOrder(X259, H259, T259),IF($D$1="POSITIONS",GetActionStrPosition(F259, S259),"")))</f>
        <v/>
      </c>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row>
    <row r="260" spans="4:33" x14ac:dyDescent="0.25">
      <c r="D260" s="2" t="str">
        <f>IF(E260="","",IF($D$1="ORDER BOOK",GetActionStrOrder(X260, H260, T260),IF($D$1="POSITIONS",GetActionStrPosition(F260, S260),"")))</f>
        <v/>
      </c>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row>
    <row r="261" spans="4:33" x14ac:dyDescent="0.25">
      <c r="D261" s="2" t="str">
        <f>IF(E261="","",IF($D$1="ORDER BOOK",GetActionStrOrder(X261, H261, T261),IF($D$1="POSITIONS",GetActionStrPosition(F261, S261),"")))</f>
        <v/>
      </c>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row>
    <row r="262" spans="4:33" x14ac:dyDescent="0.25">
      <c r="D262" s="2" t="str">
        <f>IF(E262="","",IF($D$1="ORDER BOOK",GetActionStrOrder(X262, H262, T262),IF($D$1="POSITIONS",GetActionStrPosition(F262, S262),"")))</f>
        <v/>
      </c>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row>
    <row r="263" spans="4:33" x14ac:dyDescent="0.25">
      <c r="D263" s="2" t="str">
        <f>IF(E263="","",IF($D$1="ORDER BOOK",GetActionStrOrder(X263, H263, T263),IF($D$1="POSITIONS",GetActionStrPosition(F263, S263),"")))</f>
        <v/>
      </c>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row>
    <row r="264" spans="4:33" x14ac:dyDescent="0.25">
      <c r="D264" s="2" t="str">
        <f>IF(E264="","",IF($D$1="ORDER BOOK",GetActionStrOrder(X264, H264, T264),IF($D$1="POSITIONS",GetActionStrPosition(F264, S264),"")))</f>
        <v/>
      </c>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row>
    <row r="265" spans="4:33" x14ac:dyDescent="0.25">
      <c r="D265" s="2" t="str">
        <f>IF(E265="","",IF($D$1="ORDER BOOK",GetActionStrOrder(X265, H265, T265),IF($D$1="POSITIONS",GetActionStrPosition(F265, S265),"")))</f>
        <v/>
      </c>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row>
    <row r="266" spans="4:33" x14ac:dyDescent="0.25">
      <c r="D266" s="2" t="str">
        <f>IF(E266="","",IF($D$1="ORDER BOOK",GetActionStrOrder(X266, H266, T266),IF($D$1="POSITIONS",GetActionStrPosition(F266, S266),"")))</f>
        <v/>
      </c>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row>
    <row r="267" spans="4:33" x14ac:dyDescent="0.25">
      <c r="D267" s="2" t="str">
        <f>IF(E267="","",IF($D$1="ORDER BOOK",GetActionStrOrder(X267, H267, T267),IF($D$1="POSITIONS",GetActionStrPosition(F267, S267),"")))</f>
        <v/>
      </c>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row>
    <row r="268" spans="4:33" x14ac:dyDescent="0.25">
      <c r="D268" s="2" t="str">
        <f>IF(E268="","",IF($D$1="ORDER BOOK",GetActionStrOrder(X268, H268, T268),IF($D$1="POSITIONS",GetActionStrPosition(F268, S268),"")))</f>
        <v/>
      </c>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row>
    <row r="269" spans="4:33" x14ac:dyDescent="0.25">
      <c r="D269" s="2" t="str">
        <f>IF(E269="","",IF($D$1="ORDER BOOK",GetActionStrOrder(X269, H269, T269),IF($D$1="POSITIONS",GetActionStrPosition(F269, S269),"")))</f>
        <v/>
      </c>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row>
    <row r="270" spans="4:33" x14ac:dyDescent="0.25">
      <c r="D270" s="2" t="str">
        <f>IF(E270="","",IF($D$1="ORDER BOOK",GetActionStrOrder(X270, H270, T270),IF($D$1="POSITIONS",GetActionStrPosition(F270, S270),"")))</f>
        <v/>
      </c>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row>
    <row r="271" spans="4:33" x14ac:dyDescent="0.25">
      <c r="D271" s="2" t="str">
        <f>IF(E271="","",IF($D$1="ORDER BOOK",GetActionStrOrder(X271, H271, T271),IF($D$1="POSITIONS",GetActionStrPosition(F271, S271),"")))</f>
        <v/>
      </c>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row>
    <row r="272" spans="4:33" x14ac:dyDescent="0.25">
      <c r="D272" s="2" t="str">
        <f>IF(E272="","",IF($D$1="ORDER BOOK",GetActionStrOrder(X272, H272, T272),IF($D$1="POSITIONS",GetActionStrPosition(F272, S272),"")))</f>
        <v/>
      </c>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row>
    <row r="273" spans="4:33" x14ac:dyDescent="0.25">
      <c r="D273" s="2" t="str">
        <f>IF(E273="","",IF($D$1="ORDER BOOK",GetActionStrOrder(X273, H273, T273),IF($D$1="POSITIONS",GetActionStrPosition(F273, S273),"")))</f>
        <v/>
      </c>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row>
    <row r="274" spans="4:33" x14ac:dyDescent="0.25">
      <c r="D274" s="2" t="str">
        <f>IF(E274="","",IF($D$1="ORDER BOOK",GetActionStrOrder(X274, H274, T274),IF($D$1="POSITIONS",GetActionStrPosition(F274, S274),"")))</f>
        <v/>
      </c>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row>
    <row r="275" spans="4:33" x14ac:dyDescent="0.25">
      <c r="D275" s="2" t="str">
        <f>IF(E275="","",IF($D$1="ORDER BOOK",GetActionStrOrder(X275, H275, T275),IF($D$1="POSITIONS",GetActionStrPosition(F275, S275),"")))</f>
        <v/>
      </c>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row>
    <row r="276" spans="4:33" x14ac:dyDescent="0.25">
      <c r="D276" s="2" t="str">
        <f>IF(E276="","",IF($D$1="ORDER BOOK",GetActionStrOrder(X276, H276, T276),IF($D$1="POSITIONS",GetActionStrPosition(F276, S276),"")))</f>
        <v/>
      </c>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row>
    <row r="277" spans="4:33" x14ac:dyDescent="0.25">
      <c r="D277" s="2" t="str">
        <f>IF(E277="","",IF($D$1="ORDER BOOK",GetActionStrOrder(X277, H277, T277),IF($D$1="POSITIONS",GetActionStrPosition(F277, S277),"")))</f>
        <v/>
      </c>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row>
    <row r="278" spans="4:33" x14ac:dyDescent="0.25">
      <c r="D278" s="2" t="str">
        <f>IF(E278="","",IF($D$1="ORDER BOOK",GetActionStrOrder(X278, H278, T278),IF($D$1="POSITIONS",GetActionStrPosition(F278, S278),"")))</f>
        <v/>
      </c>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row>
    <row r="279" spans="4:33" x14ac:dyDescent="0.25">
      <c r="D279" s="2" t="str">
        <f>IF(E279="","",IF($D$1="ORDER BOOK",GetActionStrOrder(X279, H279, T279),IF($D$1="POSITIONS",GetActionStrPosition(F279, S279),"")))</f>
        <v/>
      </c>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row>
    <row r="280" spans="4:33" x14ac:dyDescent="0.25">
      <c r="D280" s="2" t="str">
        <f>IF(E280="","",IF($D$1="ORDER BOOK",GetActionStrOrder(X280, H280, T280),IF($D$1="POSITIONS",GetActionStrPosition(F280, S280),"")))</f>
        <v/>
      </c>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row>
    <row r="281" spans="4:33" x14ac:dyDescent="0.25">
      <c r="D281" s="2" t="str">
        <f>IF(E281="","",IF($D$1="ORDER BOOK",GetActionStrOrder(X281, H281, T281),IF($D$1="POSITIONS",GetActionStrPosition(F281, S281),"")))</f>
        <v/>
      </c>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row>
    <row r="282" spans="4:33" x14ac:dyDescent="0.25">
      <c r="D282" s="2" t="str">
        <f>IF(E282="","",IF($D$1="ORDER BOOK",GetActionStrOrder(X282, H282, T282),IF($D$1="POSITIONS",GetActionStrPosition(F282, S282),"")))</f>
        <v/>
      </c>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row>
    <row r="283" spans="4:33" x14ac:dyDescent="0.25">
      <c r="D283" s="2" t="str">
        <f>IF(E283="","",IF($D$1="ORDER BOOK",GetActionStrOrder(X283, H283, T283),IF($D$1="POSITIONS",GetActionStrPosition(F283, S283),"")))</f>
        <v/>
      </c>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row>
    <row r="284" spans="4:33" x14ac:dyDescent="0.25">
      <c r="D284" s="2" t="str">
        <f>IF(E284="","",IF($D$1="ORDER BOOK",GetActionStrOrder(X284, H284, T284),IF($D$1="POSITIONS",GetActionStrPosition(F284, S284),"")))</f>
        <v/>
      </c>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row>
    <row r="285" spans="4:33" x14ac:dyDescent="0.25">
      <c r="D285" s="2" t="str">
        <f>IF(E285="","",IF($D$1="ORDER BOOK",GetActionStrOrder(X285, H285, T285),IF($D$1="POSITIONS",GetActionStrPosition(F285, S285),"")))</f>
        <v/>
      </c>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row>
    <row r="286" spans="4:33" x14ac:dyDescent="0.25">
      <c r="D286" s="2" t="str">
        <f>IF(E286="","",IF($D$1="ORDER BOOK",GetActionStrOrder(X286, H286, T286),IF($D$1="POSITIONS",GetActionStrPosition(F286, S286),"")))</f>
        <v/>
      </c>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row>
    <row r="287" spans="4:33" x14ac:dyDescent="0.25">
      <c r="D287" s="2" t="str">
        <f>IF(E287="","",IF($D$1="ORDER BOOK",GetActionStrOrder(X287, H287, T287),IF($D$1="POSITIONS",GetActionStrPosition(F287, S287),"")))</f>
        <v/>
      </c>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row>
    <row r="288" spans="4:33" x14ac:dyDescent="0.25">
      <c r="D288" s="2" t="str">
        <f>IF(E288="","",IF($D$1="ORDER BOOK",GetActionStrOrder(X288, H288, T288),IF($D$1="POSITIONS",GetActionStrPosition(F288, S288),"")))</f>
        <v/>
      </c>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row>
    <row r="289" spans="4:33" x14ac:dyDescent="0.25">
      <c r="D289" s="2" t="str">
        <f>IF(E289="","",IF($D$1="ORDER BOOK",GetActionStrOrder(X289, H289, T289),IF($D$1="POSITIONS",GetActionStrPosition(F289, S289),"")))</f>
        <v/>
      </c>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row>
    <row r="290" spans="4:33" x14ac:dyDescent="0.25">
      <c r="D290" s="2" t="str">
        <f>IF(E290="","",IF($D$1="ORDER BOOK",GetActionStrOrder(X290, H290, T290),IF($D$1="POSITIONS",GetActionStrPosition(F290, S290),"")))</f>
        <v/>
      </c>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row>
    <row r="291" spans="4:33" x14ac:dyDescent="0.25">
      <c r="D291" s="2" t="str">
        <f>IF(E291="","",IF($D$1="ORDER BOOK",GetActionStrOrder(X291, H291, T291),IF($D$1="POSITIONS",GetActionStrPosition(F291, S291),"")))</f>
        <v/>
      </c>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row>
    <row r="292" spans="4:33" x14ac:dyDescent="0.25">
      <c r="D292" s="2" t="str">
        <f>IF(E292="","",IF($D$1="ORDER BOOK",GetActionStrOrder(X292, H292, T292),IF($D$1="POSITIONS",GetActionStrPosition(F292, S292),"")))</f>
        <v/>
      </c>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row>
    <row r="293" spans="4:33" x14ac:dyDescent="0.25">
      <c r="D293" s="2" t="str">
        <f>IF(E293="","",IF($D$1="ORDER BOOK",GetActionStrOrder(X293, H293, T293),IF($D$1="POSITIONS",GetActionStrPosition(F293, S293),"")))</f>
        <v/>
      </c>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row>
    <row r="294" spans="4:33" x14ac:dyDescent="0.25">
      <c r="D294" s="2" t="str">
        <f>IF(E294="","",IF($D$1="ORDER BOOK",GetActionStrOrder(X294, H294, T294),IF($D$1="POSITIONS",GetActionStrPosition(F294, S294),"")))</f>
        <v/>
      </c>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row>
    <row r="295" spans="4:33" x14ac:dyDescent="0.25">
      <c r="D295" s="2" t="str">
        <f>IF(E295="","",IF($D$1="ORDER BOOK",GetActionStrOrder(X295, H295, T295),IF($D$1="POSITIONS",GetActionStrPosition(F295, S295),"")))</f>
        <v/>
      </c>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row>
    <row r="296" spans="4:33" x14ac:dyDescent="0.25">
      <c r="D296" s="2" t="str">
        <f>IF(E296="","",IF($D$1="ORDER BOOK",GetActionStrOrder(X296, H296, T296),IF($D$1="POSITIONS",GetActionStrPosition(F296, S296),"")))</f>
        <v/>
      </c>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row>
    <row r="297" spans="4:33" x14ac:dyDescent="0.25">
      <c r="D297" s="2" t="str">
        <f>IF(E297="","",IF($D$1="ORDER BOOK",GetActionStrOrder(X297, H297, T297),IF($D$1="POSITIONS",GetActionStrPosition(F297, S297),"")))</f>
        <v/>
      </c>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row>
    <row r="298" spans="4:33" x14ac:dyDescent="0.25">
      <c r="D298" s="2" t="str">
        <f>IF(E298="","",IF($D$1="ORDER BOOK",GetActionStrOrder(X298, H298, T298),IF($D$1="POSITIONS",GetActionStrPosition(F298, S298),"")))</f>
        <v/>
      </c>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row>
    <row r="299" spans="4:33" x14ac:dyDescent="0.25">
      <c r="D299" s="2" t="str">
        <f>IF(E299="","",IF($D$1="ORDER BOOK",GetActionStrOrder(X299, H299, T299),IF($D$1="POSITIONS",GetActionStrPosition(F299, S299),"")))</f>
        <v/>
      </c>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row>
    <row r="300" spans="4:33" x14ac:dyDescent="0.25">
      <c r="D300" s="2" t="str">
        <f>IF(E300="","",IF($D$1="ORDER BOOK",GetActionStrOrder(X300, H300, T300),IF($D$1="POSITIONS",GetActionStrPosition(F300, S300),"")))</f>
        <v/>
      </c>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row>
    <row r="301" spans="4:33" x14ac:dyDescent="0.25">
      <c r="D301" s="2" t="str">
        <f>IF(E301="","",IF($D$1="ORDER BOOK",GetActionStrOrder(X301, H301, T301),IF($D$1="POSITIONS",GetActionStrPosition(F301, S301),"")))</f>
        <v/>
      </c>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row>
    <row r="302" spans="4:33" x14ac:dyDescent="0.25">
      <c r="D302" s="2" t="str">
        <f>IF(E302="","",IF($D$1="ORDER BOOK",GetActionStrOrder(X302, H302, T302),IF($D$1="POSITIONS",GetActionStrPosition(F302, S302),"")))</f>
        <v/>
      </c>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row>
    <row r="303" spans="4:33" x14ac:dyDescent="0.25">
      <c r="D303" s="2" t="str">
        <f>IF(E303="","",IF($D$1="ORDER BOOK",GetActionStrOrder(X303, H303, T303),IF($D$1="POSITIONS",GetActionStrPosition(F303, S303),"")))</f>
        <v/>
      </c>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row>
    <row r="304" spans="4:33" x14ac:dyDescent="0.25">
      <c r="D304" s="2" t="str">
        <f>IF(E304="","",IF($D$1="ORDER BOOK",GetActionStrOrder(X304, H304, T304),IF($D$1="POSITIONS",GetActionStrPosition(F304, S304),"")))</f>
        <v/>
      </c>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row>
    <row r="305" spans="4:33" x14ac:dyDescent="0.25">
      <c r="D305" s="2" t="str">
        <f>IF(E305="","",IF($D$1="ORDER BOOK",GetActionStrOrder(X305, H305, T305),IF($D$1="POSITIONS",GetActionStrPosition(F305, S305),"")))</f>
        <v/>
      </c>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row>
    <row r="306" spans="4:33" x14ac:dyDescent="0.25">
      <c r="D306" s="2" t="str">
        <f>IF(E306="","",IF($D$1="ORDER BOOK",GetActionStrOrder(X306, H306, T306),IF($D$1="POSITIONS",GetActionStrPosition(F306, S306),"")))</f>
        <v/>
      </c>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row>
    <row r="307" spans="4:33" x14ac:dyDescent="0.25">
      <c r="D307" s="2" t="str">
        <f>IF(E307="","",IF($D$1="ORDER BOOK",GetActionStrOrder(X307, H307, T307),IF($D$1="POSITIONS",GetActionStrPosition(F307, S307),"")))</f>
        <v/>
      </c>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row>
    <row r="308" spans="4:33" x14ac:dyDescent="0.25">
      <c r="D308" s="2" t="str">
        <f>IF(E308="","",IF($D$1="ORDER BOOK",GetActionStrOrder(X308, H308, T308),IF($D$1="POSITIONS",GetActionStrPosition(F308, S308),"")))</f>
        <v/>
      </c>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row>
    <row r="309" spans="4:33" x14ac:dyDescent="0.25">
      <c r="D309" s="2" t="str">
        <f>IF(E309="","",IF($D$1="ORDER BOOK",GetActionStrOrder(X309, H309, T309),IF($D$1="POSITIONS",GetActionStrPosition(F309, S309),"")))</f>
        <v/>
      </c>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row>
    <row r="310" spans="4:33" x14ac:dyDescent="0.25">
      <c r="D310" s="2" t="str">
        <f>IF(E310="","",IF($D$1="ORDER BOOK",GetActionStrOrder(X310, H310, T310),IF($D$1="POSITIONS",GetActionStrPosition(F310, S310),"")))</f>
        <v/>
      </c>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row>
    <row r="311" spans="4:33" x14ac:dyDescent="0.25">
      <c r="D311" s="2" t="str">
        <f>IF(E311="","",IF($D$1="ORDER BOOK",GetActionStrOrder(X311, H311, T311),IF($D$1="POSITIONS",GetActionStrPosition(F311, S311),"")))</f>
        <v/>
      </c>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row>
    <row r="312" spans="4:33" x14ac:dyDescent="0.25">
      <c r="D312" s="2" t="str">
        <f>IF(E312="","",IF($D$1="ORDER BOOK",GetActionStrOrder(X312, H312, T312),IF($D$1="POSITIONS",GetActionStrPosition(F312, S312),"")))</f>
        <v/>
      </c>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row>
    <row r="313" spans="4:33" x14ac:dyDescent="0.25">
      <c r="D313" s="2" t="str">
        <f>IF(E313="","",IF($D$1="ORDER BOOK",GetActionStrOrder(X313, H313, T313),IF($D$1="POSITIONS",GetActionStrPosition(F313, S313),"")))</f>
        <v/>
      </c>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row>
    <row r="314" spans="4:33" x14ac:dyDescent="0.25">
      <c r="D314" s="2" t="str">
        <f>IF(E314="","",IF($D$1="ORDER BOOK",GetActionStrOrder(X314, H314, T314),IF($D$1="POSITIONS",GetActionStrPosition(F314, S314),"")))</f>
        <v/>
      </c>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row>
    <row r="315" spans="4:33" x14ac:dyDescent="0.25">
      <c r="D315" s="2" t="str">
        <f>IF(E315="","",IF($D$1="ORDER BOOK",GetActionStrOrder(X315, H315, T315),IF($D$1="POSITIONS",GetActionStrPosition(F315, S315),"")))</f>
        <v/>
      </c>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row>
    <row r="316" spans="4:33" x14ac:dyDescent="0.25">
      <c r="D316" s="2" t="str">
        <f>IF(E316="","",IF($D$1="ORDER BOOK",GetActionStrOrder(X316, H316, T316),IF($D$1="POSITIONS",GetActionStrPosition(F316, S316),"")))</f>
        <v/>
      </c>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row>
    <row r="317" spans="4:33" x14ac:dyDescent="0.25">
      <c r="D317" s="2" t="str">
        <f>IF(E317="","",IF($D$1="ORDER BOOK",GetActionStrOrder(X317, H317, T317),IF($D$1="POSITIONS",GetActionStrPosition(F317, S317),"")))</f>
        <v/>
      </c>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row>
    <row r="318" spans="4:33" x14ac:dyDescent="0.25">
      <c r="D318" s="2" t="str">
        <f>IF(E318="","",IF($D$1="ORDER BOOK",GetActionStrOrder(X318, H318, T318),IF($D$1="POSITIONS",GetActionStrPosition(F318, S318),"")))</f>
        <v/>
      </c>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row>
    <row r="319" spans="4:33" x14ac:dyDescent="0.25">
      <c r="D319" s="2" t="str">
        <f>IF(E319="","",IF($D$1="ORDER BOOK",GetActionStrOrder(X319, H319, T319),IF($D$1="POSITIONS",GetActionStrPosition(F319, S319),"")))</f>
        <v/>
      </c>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row>
    <row r="320" spans="4:33" x14ac:dyDescent="0.25">
      <c r="D320" s="2" t="str">
        <f>IF(E320="","",IF($D$1="ORDER BOOK",GetActionStrOrder(X320, H320, T320),IF($D$1="POSITIONS",GetActionStrPosition(F320, S320),"")))</f>
        <v/>
      </c>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row>
    <row r="321" spans="4:33" x14ac:dyDescent="0.25">
      <c r="D321" s="2" t="str">
        <f>IF(E321="","",IF($D$1="ORDER BOOK",GetActionStrOrder(X321, H321, T321),IF($D$1="POSITIONS",GetActionStrPosition(F321, S321),"")))</f>
        <v/>
      </c>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row>
    <row r="322" spans="4:33" x14ac:dyDescent="0.25">
      <c r="D322" s="2" t="str">
        <f>IF(E322="","",IF($D$1="ORDER BOOK",GetActionStrOrder(X322, H322, T322),IF($D$1="POSITIONS",GetActionStrPosition(F322, S322),"")))</f>
        <v/>
      </c>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row>
    <row r="323" spans="4:33" x14ac:dyDescent="0.25">
      <c r="D323" s="2" t="str">
        <f>IF(E323="","",IF($D$1="ORDER BOOK",GetActionStrOrder(X323, H323, T323),IF($D$1="POSITIONS",GetActionStrPosition(F323, S323),"")))</f>
        <v/>
      </c>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row>
    <row r="324" spans="4:33" x14ac:dyDescent="0.25">
      <c r="D324" s="2" t="str">
        <f>IF(E324="","",IF($D$1="ORDER BOOK",GetActionStrOrder(X324, H324, T324),IF($D$1="POSITIONS",GetActionStrPosition(F324, S324),"")))</f>
        <v/>
      </c>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row>
    <row r="325" spans="4:33" x14ac:dyDescent="0.25">
      <c r="D325" s="2" t="str">
        <f>IF(E325="","",IF($D$1="ORDER BOOK",GetActionStrOrder(X325, H325, T325),IF($D$1="POSITIONS",GetActionStrPosition(F325, S325),"")))</f>
        <v/>
      </c>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row>
    <row r="326" spans="4:33" x14ac:dyDescent="0.25">
      <c r="D326" s="2" t="str">
        <f>IF(E326="","",IF($D$1="ORDER BOOK",GetActionStrOrder(X326, H326, T326),IF($D$1="POSITIONS",GetActionStrPosition(F326, S326),"")))</f>
        <v/>
      </c>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row>
    <row r="327" spans="4:33" x14ac:dyDescent="0.25">
      <c r="D327" s="2" t="str">
        <f>IF(E327="","",IF($D$1="ORDER BOOK",GetActionStrOrder(X327, H327, T327),IF($D$1="POSITIONS",GetActionStrPosition(F327, S327),"")))</f>
        <v/>
      </c>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row>
    <row r="328" spans="4:33" x14ac:dyDescent="0.25">
      <c r="D328" s="2" t="str">
        <f>IF(E328="","",IF($D$1="ORDER BOOK",GetActionStrOrder(X328, H328, T328),IF($D$1="POSITIONS",GetActionStrPosition(F328, S328),"")))</f>
        <v/>
      </c>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row>
    <row r="329" spans="4:33" x14ac:dyDescent="0.25">
      <c r="D329" s="2" t="str">
        <f>IF(E329="","",IF($D$1="ORDER BOOK",GetActionStrOrder(X329, H329, T329),IF($D$1="POSITIONS",GetActionStrPosition(F329, S329),"")))</f>
        <v/>
      </c>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row>
    <row r="330" spans="4:33" x14ac:dyDescent="0.25">
      <c r="D330" s="2" t="str">
        <f>IF(E330="","",IF($D$1="ORDER BOOK",GetActionStrOrder(X330, H330, T330),IF($D$1="POSITIONS",GetActionStrPosition(F330, S330),"")))</f>
        <v/>
      </c>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row>
    <row r="331" spans="4:33" x14ac:dyDescent="0.25">
      <c r="D331" s="2" t="str">
        <f>IF(E331="","",IF($D$1="ORDER BOOK",GetActionStrOrder(X331, H331, T331),IF($D$1="POSITIONS",GetActionStrPosition(F331, S331),"")))</f>
        <v/>
      </c>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row>
    <row r="332" spans="4:33" x14ac:dyDescent="0.25">
      <c r="D332" s="2" t="str">
        <f>IF(E332="","",IF($D$1="ORDER BOOK",GetActionStrOrder(X332, H332, T332),IF($D$1="POSITIONS",GetActionStrPosition(F332, S332),"")))</f>
        <v/>
      </c>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row>
    <row r="333" spans="4:33" x14ac:dyDescent="0.25">
      <c r="D333" s="2" t="str">
        <f>IF(E333="","",IF($D$1="ORDER BOOK",GetActionStrOrder(X333, H333, T333),IF($D$1="POSITIONS",GetActionStrPosition(F333, S333),"")))</f>
        <v/>
      </c>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row>
    <row r="334" spans="4:33" x14ac:dyDescent="0.25">
      <c r="D334" s="2" t="str">
        <f>IF(E334="","",IF($D$1="ORDER BOOK",GetActionStrOrder(X334, H334, T334),IF($D$1="POSITIONS",GetActionStrPosition(F334, S334),"")))</f>
        <v/>
      </c>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row>
    <row r="335" spans="4:33" x14ac:dyDescent="0.25">
      <c r="D335" s="2" t="str">
        <f>IF(E335="","",IF($D$1="ORDER BOOK",GetActionStrOrder(X335, H335, T335),IF($D$1="POSITIONS",GetActionStrPosition(F335, S335),"")))</f>
        <v/>
      </c>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row>
    <row r="336" spans="4:33" x14ac:dyDescent="0.25">
      <c r="D336" s="2" t="str">
        <f>IF(E336="","",IF($D$1="ORDER BOOK",GetActionStrOrder(X336, H336, T336),IF($D$1="POSITIONS",GetActionStrPosition(F336, S336),"")))</f>
        <v/>
      </c>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row>
    <row r="337" spans="4:33" x14ac:dyDescent="0.25">
      <c r="D337" s="2" t="str">
        <f>IF(E337="","",IF($D$1="ORDER BOOK",GetActionStrOrder(X337, H337, T337),IF($D$1="POSITIONS",GetActionStrPosition(F337, S337),"")))</f>
        <v/>
      </c>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row>
    <row r="338" spans="4:33" x14ac:dyDescent="0.25">
      <c r="D338" s="2" t="str">
        <f>IF(E338="","",IF($D$1="ORDER BOOK",GetActionStrOrder(X338, H338, T338),IF($D$1="POSITIONS",GetActionStrPosition(F338, S338),"")))</f>
        <v/>
      </c>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row>
    <row r="339" spans="4:33" x14ac:dyDescent="0.25">
      <c r="D339" s="2" t="str">
        <f>IF(E339="","",IF($D$1="ORDER BOOK",GetActionStrOrder(X339, H339, T339),IF($D$1="POSITIONS",GetActionStrPosition(F339, S339),"")))</f>
        <v/>
      </c>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row>
    <row r="340" spans="4:33" x14ac:dyDescent="0.25">
      <c r="D340" s="2" t="str">
        <f>IF(E340="","",IF($D$1="ORDER BOOK",GetActionStrOrder(X340, H340, T340),IF($D$1="POSITIONS",GetActionStrPosition(F340, S340),"")))</f>
        <v/>
      </c>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row>
    <row r="341" spans="4:33" x14ac:dyDescent="0.25">
      <c r="D341" s="2" t="str">
        <f>IF(E341="","",IF($D$1="ORDER BOOK",GetActionStrOrder(X341, H341, T341),IF($D$1="POSITIONS",GetActionStrPosition(F341, S341),"")))</f>
        <v/>
      </c>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row>
    <row r="342" spans="4:33" x14ac:dyDescent="0.25">
      <c r="D342" s="2" t="str">
        <f>IF(E342="","",IF($D$1="ORDER BOOK",GetActionStrOrder(X342, H342, T342),IF($D$1="POSITIONS",GetActionStrPosition(F342, S342),"")))</f>
        <v/>
      </c>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row>
    <row r="343" spans="4:33" x14ac:dyDescent="0.25">
      <c r="D343" s="2" t="str">
        <f>IF(E343="","",IF($D$1="ORDER BOOK",GetActionStrOrder(X343, H343, T343),IF($D$1="POSITIONS",GetActionStrPosition(F343, S343),"")))</f>
        <v/>
      </c>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row>
    <row r="344" spans="4:33" x14ac:dyDescent="0.25">
      <c r="D344" s="2" t="str">
        <f>IF(E344="","",IF($D$1="ORDER BOOK",GetActionStrOrder(X344, H344, T344),IF($D$1="POSITIONS",GetActionStrPosition(F344, S344),"")))</f>
        <v/>
      </c>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row>
    <row r="345" spans="4:33" x14ac:dyDescent="0.25">
      <c r="D345" s="2" t="str">
        <f>IF(E345="","",IF($D$1="ORDER BOOK",GetActionStrOrder(X345, H345, T345),IF($D$1="POSITIONS",GetActionStrPosition(F345, S345),"")))</f>
        <v/>
      </c>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row>
    <row r="346" spans="4:33" x14ac:dyDescent="0.25">
      <c r="D346" s="2" t="str">
        <f>IF(E346="","",IF($D$1="ORDER BOOK",GetActionStrOrder(X346, H346, T346),IF($D$1="POSITIONS",GetActionStrPosition(F346, S346),"")))</f>
        <v/>
      </c>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row>
    <row r="347" spans="4:33" x14ac:dyDescent="0.25">
      <c r="D347" s="2" t="str">
        <f>IF(E347="","",IF($D$1="ORDER BOOK",GetActionStrOrder(X347, H347, T347),IF($D$1="POSITIONS",GetActionStrPosition(F347, S347),"")))</f>
        <v/>
      </c>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row>
    <row r="348" spans="4:33" x14ac:dyDescent="0.25">
      <c r="D348" s="2" t="str">
        <f>IF(E348="","",IF($D$1="ORDER BOOK",GetActionStrOrder(X348, H348, T348),IF($D$1="POSITIONS",GetActionStrPosition(F348, S348),"")))</f>
        <v/>
      </c>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row>
    <row r="349" spans="4:33" x14ac:dyDescent="0.25">
      <c r="D349" s="2" t="str">
        <f>IF(E349="","",IF($D$1="ORDER BOOK",GetActionStrOrder(X349, H349, T349),IF($D$1="POSITIONS",GetActionStrPosition(F349, S349),"")))</f>
        <v/>
      </c>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row>
    <row r="350" spans="4:33" x14ac:dyDescent="0.25">
      <c r="D350" s="2" t="str">
        <f>IF(E350="","",IF($D$1="ORDER BOOK",GetActionStrOrder(X350, H350, T350),IF($D$1="POSITIONS",GetActionStrPosition(F350, S350),"")))</f>
        <v/>
      </c>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row>
    <row r="351" spans="4:33" x14ac:dyDescent="0.25">
      <c r="D351" s="2" t="str">
        <f>IF(E351="","",IF($D$1="ORDER BOOK",GetActionStrOrder(X351, H351, T351),IF($D$1="POSITIONS",GetActionStrPosition(F351, S351),"")))</f>
        <v/>
      </c>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row>
    <row r="352" spans="4:33" x14ac:dyDescent="0.25">
      <c r="D352" s="2" t="str">
        <f>IF(E352="","",IF($D$1="ORDER BOOK",GetActionStrOrder(X352, H352, T352),IF($D$1="POSITIONS",GetActionStrPosition(F352, S352),"")))</f>
        <v/>
      </c>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row>
    <row r="353" spans="4:33" x14ac:dyDescent="0.25">
      <c r="D353" s="2" t="str">
        <f>IF(E353="","",IF($D$1="ORDER BOOK",GetActionStrOrder(X353, H353, T353),IF($D$1="POSITIONS",GetActionStrPosition(F353, S353),"")))</f>
        <v/>
      </c>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row>
    <row r="354" spans="4:33" x14ac:dyDescent="0.25">
      <c r="D354" s="2" t="str">
        <f>IF(E354="","",IF($D$1="ORDER BOOK",GetActionStrOrder(X354, H354, T354),IF($D$1="POSITIONS",GetActionStrPosition(F354, S354),"")))</f>
        <v/>
      </c>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row>
    <row r="355" spans="4:33" x14ac:dyDescent="0.25">
      <c r="D355" s="2" t="str">
        <f>IF(E355="","",IF($D$1="ORDER BOOK",GetActionStrOrder(X355, H355, T355),IF($D$1="POSITIONS",GetActionStrPosition(F355, S355),"")))</f>
        <v/>
      </c>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row>
    <row r="356" spans="4:33" x14ac:dyDescent="0.25">
      <c r="D356" s="2" t="str">
        <f>IF(E356="","",IF($D$1="ORDER BOOK",GetActionStrOrder(X356, H356, T356),IF($D$1="POSITIONS",GetActionStrPosition(F356, S356),"")))</f>
        <v/>
      </c>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row>
    <row r="357" spans="4:33" x14ac:dyDescent="0.25">
      <c r="D357" s="2" t="str">
        <f>IF(E357="","",IF($D$1="ORDER BOOK",GetActionStrOrder(X357, H357, T357),IF($D$1="POSITIONS",GetActionStrPosition(F357, S357),"")))</f>
        <v/>
      </c>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row>
    <row r="358" spans="4:33" x14ac:dyDescent="0.25">
      <c r="D358" s="2" t="str">
        <f>IF(E358="","",IF($D$1="ORDER BOOK",GetActionStrOrder(X358, H358, T358),IF($D$1="POSITIONS",GetActionStrPosition(F358, S358),"")))</f>
        <v/>
      </c>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row>
    <row r="359" spans="4:33" x14ac:dyDescent="0.25">
      <c r="D359" s="2" t="str">
        <f>IF(E359="","",IF($D$1="ORDER BOOK",GetActionStrOrder(X359, H359, T359),IF($D$1="POSITIONS",GetActionStrPosition(F359, S359),"")))</f>
        <v/>
      </c>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row>
    <row r="360" spans="4:33" x14ac:dyDescent="0.25">
      <c r="D360" s="2" t="str">
        <f>IF(E360="","",IF($D$1="ORDER BOOK",GetActionStrOrder(X360, H360, T360),IF($D$1="POSITIONS",GetActionStrPosition(F360, S360),"")))</f>
        <v/>
      </c>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row>
    <row r="361" spans="4:33" x14ac:dyDescent="0.25">
      <c r="D361" s="2" t="str">
        <f>IF(E361="","",IF($D$1="ORDER BOOK",GetActionStrOrder(X361, H361, T361),IF($D$1="POSITIONS",GetActionStrPosition(F361, S361),"")))</f>
        <v/>
      </c>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row>
    <row r="362" spans="4:33" x14ac:dyDescent="0.25">
      <c r="D362" s="2" t="str">
        <f>IF(E362="","",IF($D$1="ORDER BOOK",GetActionStrOrder(X362, H362, T362),IF($D$1="POSITIONS",GetActionStrPosition(F362, S362),"")))</f>
        <v/>
      </c>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row>
    <row r="363" spans="4:33" x14ac:dyDescent="0.25">
      <c r="D363" s="2" t="str">
        <f>IF(E363="","",IF($D$1="ORDER BOOK",GetActionStrOrder(X363, H363, T363),IF($D$1="POSITIONS",GetActionStrPosition(F363, S363),"")))</f>
        <v/>
      </c>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row>
    <row r="364" spans="4:33" x14ac:dyDescent="0.25">
      <c r="D364" s="2" t="str">
        <f>IF(E364="","",IF($D$1="ORDER BOOK",GetActionStrOrder(X364, H364, T364),IF($D$1="POSITIONS",GetActionStrPosition(F364, S364),"")))</f>
        <v/>
      </c>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row>
    <row r="365" spans="4:33" x14ac:dyDescent="0.25">
      <c r="D365" s="2" t="str">
        <f>IF(E365="","",IF($D$1="ORDER BOOK",GetActionStrOrder(X365, H365, T365),IF($D$1="POSITIONS",GetActionStrPosition(F365, S365),"")))</f>
        <v/>
      </c>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row>
    <row r="366" spans="4:33" x14ac:dyDescent="0.25">
      <c r="D366" s="2" t="str">
        <f>IF(E366="","",IF($D$1="ORDER BOOK",GetActionStrOrder(X366, H366, T366),IF($D$1="POSITIONS",GetActionStrPosition(F366, S366),"")))</f>
        <v/>
      </c>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row>
    <row r="367" spans="4:33" x14ac:dyDescent="0.25">
      <c r="D367" s="2" t="str">
        <f>IF(E367="","",IF($D$1="ORDER BOOK",GetActionStrOrder(X367, H367, T367),IF($D$1="POSITIONS",GetActionStrPosition(F367, S367),"")))</f>
        <v/>
      </c>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row>
    <row r="368" spans="4:33" x14ac:dyDescent="0.25">
      <c r="D368" s="2" t="str">
        <f>IF(E368="","",IF($D$1="ORDER BOOK",GetActionStrOrder(X368, H368, T368),IF($D$1="POSITIONS",GetActionStrPosition(F368, S368),"")))</f>
        <v/>
      </c>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row>
    <row r="369" spans="4:33" x14ac:dyDescent="0.25">
      <c r="D369" s="2" t="str">
        <f>IF(E369="","",IF($D$1="ORDER BOOK",GetActionStrOrder(X369, H369, T369),IF($D$1="POSITIONS",GetActionStrPosition(F369, S369),"")))</f>
        <v/>
      </c>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row>
    <row r="370" spans="4:33" x14ac:dyDescent="0.25">
      <c r="D370" s="2" t="str">
        <f>IF(E370="","",IF($D$1="ORDER BOOK",GetActionStrOrder(X370, H370, T370),IF($D$1="POSITIONS",GetActionStrPosition(F370, S370),"")))</f>
        <v/>
      </c>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row>
    <row r="371" spans="4:33" x14ac:dyDescent="0.25">
      <c r="D371" s="2" t="str">
        <f>IF(E371="","",IF($D$1="ORDER BOOK",GetActionStrOrder(X371, H371, T371),IF($D$1="POSITIONS",GetActionStrPosition(F371, S371),"")))</f>
        <v/>
      </c>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row>
    <row r="372" spans="4:33" x14ac:dyDescent="0.25">
      <c r="D372" s="2" t="str">
        <f>IF(E372="","",IF($D$1="ORDER BOOK",GetActionStrOrder(X372, H372, T372),IF($D$1="POSITIONS",GetActionStrPosition(F372, S372),"")))</f>
        <v/>
      </c>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row>
    <row r="373" spans="4:33" x14ac:dyDescent="0.25">
      <c r="D373" s="2" t="str">
        <f>IF(E373="","",IF($D$1="ORDER BOOK",GetActionStrOrder(X373, H373, T373),IF($D$1="POSITIONS",GetActionStrPosition(F373, S373),"")))</f>
        <v/>
      </c>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row>
    <row r="374" spans="4:33" x14ac:dyDescent="0.25">
      <c r="D374" s="2" t="str">
        <f>IF(E374="","",IF($D$1="ORDER BOOK",GetActionStrOrder(X374, H374, T374),IF($D$1="POSITIONS",GetActionStrPosition(F374, S374),"")))</f>
        <v/>
      </c>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row>
    <row r="375" spans="4:33" x14ac:dyDescent="0.25">
      <c r="D375" s="2" t="str">
        <f>IF(E375="","",IF($D$1="ORDER BOOK",GetActionStrOrder(X375, H375, T375),IF($D$1="POSITIONS",GetActionStrPosition(F375, S375),"")))</f>
        <v/>
      </c>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row>
    <row r="376" spans="4:33" x14ac:dyDescent="0.25">
      <c r="D376" s="2" t="str">
        <f>IF(E376="","",IF($D$1="ORDER BOOK",GetActionStrOrder(X376, H376, T376),IF($D$1="POSITIONS",GetActionStrPosition(F376, S376),"")))</f>
        <v/>
      </c>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row>
    <row r="377" spans="4:33" x14ac:dyDescent="0.25">
      <c r="D377" s="2" t="str">
        <f>IF(E377="","",IF($D$1="ORDER BOOK",GetActionStrOrder(X377, H377, T377),IF($D$1="POSITIONS",GetActionStrPosition(F377, S377),"")))</f>
        <v/>
      </c>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row>
    <row r="378" spans="4:33" x14ac:dyDescent="0.25">
      <c r="D378" s="2" t="str">
        <f>IF(E378="","",IF($D$1="ORDER BOOK",GetActionStrOrder(X378, H378, T378),IF($D$1="POSITIONS",GetActionStrPosition(F378, S378),"")))</f>
        <v/>
      </c>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row>
    <row r="379" spans="4:33" x14ac:dyDescent="0.25">
      <c r="D379" s="2" t="str">
        <f>IF(E379="","",IF($D$1="ORDER BOOK",GetActionStrOrder(X379, H379, T379),IF($D$1="POSITIONS",GetActionStrPosition(F379, S379),"")))</f>
        <v/>
      </c>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row>
    <row r="380" spans="4:33" x14ac:dyDescent="0.25">
      <c r="D380" s="2" t="str">
        <f>IF(E380="","",IF($D$1="ORDER BOOK",GetActionStrOrder(X380, H380, T380),IF($D$1="POSITIONS",GetActionStrPosition(F380, S380),"")))</f>
        <v/>
      </c>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row>
    <row r="381" spans="4:33" x14ac:dyDescent="0.25">
      <c r="D381" s="2" t="str">
        <f>IF(E381="","",IF($D$1="ORDER BOOK",GetActionStrOrder(X381, H381, T381),IF($D$1="POSITIONS",GetActionStrPosition(F381, S381),"")))</f>
        <v/>
      </c>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row>
    <row r="382" spans="4:33" x14ac:dyDescent="0.25">
      <c r="D382" s="2" t="str">
        <f>IF(E382="","",IF($D$1="ORDER BOOK",GetActionStrOrder(X382, H382, T382),IF($D$1="POSITIONS",GetActionStrPosition(F382, S382),"")))</f>
        <v/>
      </c>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row>
    <row r="383" spans="4:33" x14ac:dyDescent="0.25">
      <c r="D383" s="2" t="str">
        <f>IF(E383="","",IF($D$1="ORDER BOOK",GetActionStrOrder(X383, H383, T383),IF($D$1="POSITIONS",GetActionStrPosition(F383, S383),"")))</f>
        <v/>
      </c>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row>
    <row r="384" spans="4:33" x14ac:dyDescent="0.25">
      <c r="D384" s="2" t="str">
        <f>IF(E384="","",IF($D$1="ORDER BOOK",GetActionStrOrder(X384, H384, T384),IF($D$1="POSITIONS",GetActionStrPosition(F384, S384),"")))</f>
        <v/>
      </c>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row>
    <row r="385" spans="4:33" x14ac:dyDescent="0.25">
      <c r="D385" s="2" t="str">
        <f>IF(E385="","",IF($D$1="ORDER BOOK",GetActionStrOrder(X385, H385, T385),IF($D$1="POSITIONS",GetActionStrPosition(F385, S385),"")))</f>
        <v/>
      </c>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row>
    <row r="386" spans="4:33" x14ac:dyDescent="0.25">
      <c r="D386" s="2" t="str">
        <f>IF(E386="","",IF($D$1="ORDER BOOK",GetActionStrOrder(X386, H386, T386),IF($D$1="POSITIONS",GetActionStrPosition(F386, S386),"")))</f>
        <v/>
      </c>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row>
    <row r="387" spans="4:33" x14ac:dyDescent="0.25">
      <c r="D387" s="2" t="str">
        <f>IF(E387="","",IF($D$1="ORDER BOOK",GetActionStrOrder(X387, H387, T387),IF($D$1="POSITIONS",GetActionStrPosition(F387, S387),"")))</f>
        <v/>
      </c>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row>
    <row r="388" spans="4:33" x14ac:dyDescent="0.25">
      <c r="D388" s="2" t="str">
        <f>IF(E388="","",IF($D$1="ORDER BOOK",GetActionStrOrder(X388, H388, T388),IF($D$1="POSITIONS",GetActionStrPosition(F388, S388),"")))</f>
        <v/>
      </c>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row>
    <row r="389" spans="4:33" x14ac:dyDescent="0.25">
      <c r="D389" s="2" t="str">
        <f>IF(E389="","",IF($D$1="ORDER BOOK",GetActionStrOrder(X389, H389, T389),IF($D$1="POSITIONS",GetActionStrPosition(F389, S389),"")))</f>
        <v/>
      </c>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row>
    <row r="390" spans="4:33" x14ac:dyDescent="0.25">
      <c r="D390" s="2" t="str">
        <f>IF(E390="","",IF($D$1="ORDER BOOK",GetActionStrOrder(X390, H390, T390),IF($D$1="POSITIONS",GetActionStrPosition(F390, S390),"")))</f>
        <v/>
      </c>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row>
    <row r="391" spans="4:33" x14ac:dyDescent="0.25">
      <c r="D391" s="2" t="str">
        <f>IF(E391="","",IF($D$1="ORDER BOOK",GetActionStrOrder(X391, H391, T391),IF($D$1="POSITIONS",GetActionStrPosition(F391, S391),"")))</f>
        <v/>
      </c>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row>
    <row r="392" spans="4:33" x14ac:dyDescent="0.25">
      <c r="D392" s="2" t="str">
        <f>IF(E392="","",IF($D$1="ORDER BOOK",GetActionStrOrder(X392, H392, T392),IF($D$1="POSITIONS",GetActionStrPosition(F392, S392),"")))</f>
        <v/>
      </c>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row>
    <row r="393" spans="4:33" x14ac:dyDescent="0.25">
      <c r="D393" s="2" t="str">
        <f>IF(E393="","",IF($D$1="ORDER BOOK",GetActionStrOrder(X393, H393, T393),IF($D$1="POSITIONS",GetActionStrPosition(F393, S393),"")))</f>
        <v/>
      </c>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row>
    <row r="394" spans="4:33" x14ac:dyDescent="0.25">
      <c r="D394" s="2" t="str">
        <f>IF(E394="","",IF($D$1="ORDER BOOK",GetActionStrOrder(X394, H394, T394),IF($D$1="POSITIONS",GetActionStrPosition(F394, S394),"")))</f>
        <v/>
      </c>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row>
    <row r="395" spans="4:33" x14ac:dyDescent="0.25">
      <c r="D395" s="2" t="str">
        <f>IF(E395="","",IF($D$1="ORDER BOOK",GetActionStrOrder(X395, H395, T395),IF($D$1="POSITIONS",GetActionStrPosition(F395, S395),"")))</f>
        <v/>
      </c>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row>
    <row r="396" spans="4:33" x14ac:dyDescent="0.25">
      <c r="D396" s="2" t="str">
        <f>IF(E396="","",IF($D$1="ORDER BOOK",GetActionStrOrder(X396, H396, T396),IF($D$1="POSITIONS",GetActionStrPosition(F396, S396),"")))</f>
        <v/>
      </c>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row>
    <row r="397" spans="4:33" x14ac:dyDescent="0.25">
      <c r="D397" s="2" t="str">
        <f>IF(E397="","",IF($D$1="ORDER BOOK",GetActionStrOrder(X397, H397, T397),IF($D$1="POSITIONS",GetActionStrPosition(F397, S397),"")))</f>
        <v/>
      </c>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row>
    <row r="398" spans="4:33" x14ac:dyDescent="0.25">
      <c r="D398" s="2" t="str">
        <f>IF(E398="","",IF($D$1="ORDER BOOK",GetActionStrOrder(X398, H398, T398),IF($D$1="POSITIONS",GetActionStrPosition(F398, S398),"")))</f>
        <v/>
      </c>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row>
    <row r="399" spans="4:33" x14ac:dyDescent="0.25">
      <c r="D399" s="2" t="str">
        <f>IF(E399="","",IF($D$1="ORDER BOOK",GetActionStrOrder(X399, H399, T399),IF($D$1="POSITIONS",GetActionStrPosition(F399, S399),"")))</f>
        <v/>
      </c>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row>
    <row r="400" spans="4:33" x14ac:dyDescent="0.25">
      <c r="D400" s="2" t="str">
        <f>IF(E400="","",IF($D$1="ORDER BOOK",GetActionStrOrder(X400, H400, T400),IF($D$1="POSITIONS",GetActionStrPosition(F400, S400),"")))</f>
        <v/>
      </c>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row>
    <row r="401" spans="4:33" x14ac:dyDescent="0.25">
      <c r="D401" s="2" t="str">
        <f>IF(E401="","",IF($D$1="ORDER BOOK",GetActionStrOrder(X401, H401, T401),IF($D$1="POSITIONS",GetActionStrPosition(F401, S401),"")))</f>
        <v/>
      </c>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row>
    <row r="402" spans="4:33" x14ac:dyDescent="0.25">
      <c r="D402" s="2" t="str">
        <f>IF(E402="","",IF($D$1="ORDER BOOK",GetActionStrOrder(X402, H402, T402),IF($D$1="POSITIONS",GetActionStrPosition(F402, S402),"")))</f>
        <v/>
      </c>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row>
    <row r="403" spans="4:33" x14ac:dyDescent="0.25">
      <c r="D403" s="2" t="str">
        <f>IF(E403="","",IF($D$1="ORDER BOOK",GetActionStrOrder(X403, H403, T403),IF($D$1="POSITIONS",GetActionStrPosition(F403, S403),"")))</f>
        <v/>
      </c>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row>
    <row r="404" spans="4:33" x14ac:dyDescent="0.25">
      <c r="D404" s="2" t="str">
        <f>IF(E404="","",IF($D$1="ORDER BOOK",GetActionStrOrder(X404, H404, T404),IF($D$1="POSITIONS",GetActionStrPosition(F404, S404),"")))</f>
        <v/>
      </c>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row>
    <row r="405" spans="4:33" x14ac:dyDescent="0.25">
      <c r="D405" s="2" t="str">
        <f>IF(E405="","",IF($D$1="ORDER BOOK",GetActionStrOrder(X405, H405, T405),IF($D$1="POSITIONS",GetActionStrPosition(F405, S405),"")))</f>
        <v/>
      </c>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row>
    <row r="406" spans="4:33" x14ac:dyDescent="0.25">
      <c r="D406" s="2" t="str">
        <f>IF(E406="","",IF($D$1="ORDER BOOK",GetActionStrOrder(X406, H406, T406),IF($D$1="POSITIONS",GetActionStrPosition(F406, S406),"")))</f>
        <v/>
      </c>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row>
    <row r="407" spans="4:33" x14ac:dyDescent="0.25">
      <c r="D407" s="2" t="str">
        <f>IF(E407="","",IF($D$1="ORDER BOOK",GetActionStrOrder(X407, H407, T407),IF($D$1="POSITIONS",GetActionStrPosition(F407, S407),"")))</f>
        <v/>
      </c>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row>
    <row r="408" spans="4:33" x14ac:dyDescent="0.25">
      <c r="D408" s="2" t="str">
        <f>IF(E408="","",IF($D$1="ORDER BOOK",GetActionStrOrder(X408, H408, T408),IF($D$1="POSITIONS",GetActionStrPosition(F408, S408),"")))</f>
        <v/>
      </c>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row>
    <row r="409" spans="4:33" x14ac:dyDescent="0.25">
      <c r="D409" s="2" t="str">
        <f>IF(E409="","",IF($D$1="ORDER BOOK",GetActionStrOrder(X409, H409, T409),IF($D$1="POSITIONS",GetActionStrPosition(F409, S409),"")))</f>
        <v/>
      </c>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row>
    <row r="410" spans="4:33" x14ac:dyDescent="0.25">
      <c r="D410" s="2" t="str">
        <f>IF(E410="","",IF($D$1="ORDER BOOK",GetActionStrOrder(X410, H410, T410),IF($D$1="POSITIONS",GetActionStrPosition(F410, S410),"")))</f>
        <v/>
      </c>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row>
    <row r="411" spans="4:33" x14ac:dyDescent="0.25">
      <c r="D411" s="2" t="str">
        <f>IF(E411="","",IF($D$1="ORDER BOOK",GetActionStrOrder(X411, H411, T411),IF($D$1="POSITIONS",GetActionStrPosition(F411, S411),"")))</f>
        <v/>
      </c>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row>
    <row r="412" spans="4:33" x14ac:dyDescent="0.25">
      <c r="D412" s="2" t="str">
        <f>IF(E412="","",IF($D$1="ORDER BOOK",GetActionStrOrder(X412, H412, T412),IF($D$1="POSITIONS",GetActionStrPosition(F412, S412),"")))</f>
        <v/>
      </c>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row>
    <row r="413" spans="4:33" x14ac:dyDescent="0.25">
      <c r="D413" s="2" t="str">
        <f>IF(E413="","",IF($D$1="ORDER BOOK",GetActionStrOrder(X413, H413, T413),IF($D$1="POSITIONS",GetActionStrPosition(F413, S413),"")))</f>
        <v/>
      </c>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row>
    <row r="414" spans="4:33" x14ac:dyDescent="0.25">
      <c r="D414" s="2" t="str">
        <f>IF(E414="","",IF($D$1="ORDER BOOK",GetActionStrOrder(X414, H414, T414),IF($D$1="POSITIONS",GetActionStrPosition(F414, S414),"")))</f>
        <v/>
      </c>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row>
    <row r="415" spans="4:33" x14ac:dyDescent="0.25">
      <c r="D415" s="2" t="str">
        <f>IF(E415="","",IF($D$1="ORDER BOOK",GetActionStrOrder(X415, H415, T415),IF($D$1="POSITIONS",GetActionStrPosition(F415, S415),"")))</f>
        <v/>
      </c>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row>
    <row r="416" spans="4:33" x14ac:dyDescent="0.25">
      <c r="D416" s="2" t="str">
        <f>IF(E416="","",IF($D$1="ORDER BOOK",GetActionStrOrder(X416, H416, T416),IF($D$1="POSITIONS",GetActionStrPosition(F416, S416),"")))</f>
        <v/>
      </c>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row>
    <row r="417" spans="4:33" x14ac:dyDescent="0.25">
      <c r="D417" s="2" t="str">
        <f>IF(E417="","",IF($D$1="ORDER BOOK",GetActionStrOrder(X417, H417, T417),IF($D$1="POSITIONS",GetActionStrPosition(F417, S417),"")))</f>
        <v/>
      </c>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row>
    <row r="418" spans="4:33" x14ac:dyDescent="0.25">
      <c r="D418" s="2" t="str">
        <f>IF(E418="","",IF($D$1="ORDER BOOK",GetActionStrOrder(X418, H418, T418),IF($D$1="POSITIONS",GetActionStrPosition(F418, S418),"")))</f>
        <v/>
      </c>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row>
    <row r="419" spans="4:33" x14ac:dyDescent="0.25">
      <c r="D419" s="2" t="str">
        <f>IF(E419="","",IF($D$1="ORDER BOOK",GetActionStrOrder(X419, H419, T419),IF($D$1="POSITIONS",GetActionStrPosition(F419, S419),"")))</f>
        <v/>
      </c>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row>
    <row r="420" spans="4:33" x14ac:dyDescent="0.25">
      <c r="D420" s="2" t="str">
        <f>IF(E420="","",IF($D$1="ORDER BOOK",GetActionStrOrder(X420, H420, T420),IF($D$1="POSITIONS",GetActionStrPosition(F420, S420),"")))</f>
        <v/>
      </c>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row>
    <row r="421" spans="4:33" x14ac:dyDescent="0.25">
      <c r="D421" s="2" t="str">
        <f>IF(E421="","",IF($D$1="ORDER BOOK",GetActionStrOrder(X421, H421, T421),IF($D$1="POSITIONS",GetActionStrPosition(F421, S421),"")))</f>
        <v/>
      </c>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row>
    <row r="422" spans="4:33" x14ac:dyDescent="0.25">
      <c r="D422" s="2" t="str">
        <f>IF(E422="","",IF($D$1="ORDER BOOK",GetActionStrOrder(X422, H422, T422),IF($D$1="POSITIONS",GetActionStrPosition(F422, S422),"")))</f>
        <v/>
      </c>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row>
    <row r="423" spans="4:33" x14ac:dyDescent="0.25">
      <c r="D423" s="2" t="str">
        <f>IF(E423="","",IF($D$1="ORDER BOOK",GetActionStrOrder(X423, H423, T423),IF($D$1="POSITIONS",GetActionStrPosition(F423, S423),"")))</f>
        <v/>
      </c>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row>
    <row r="424" spans="4:33" x14ac:dyDescent="0.25">
      <c r="D424" s="2" t="str">
        <f>IF(E424="","",IF($D$1="ORDER BOOK",GetActionStrOrder(X424, H424, T424),IF($D$1="POSITIONS",GetActionStrPosition(F424, S424),"")))</f>
        <v/>
      </c>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row>
    <row r="425" spans="4:33" x14ac:dyDescent="0.25">
      <c r="D425" s="2" t="str">
        <f>IF(E425="","",IF($D$1="ORDER BOOK",GetActionStrOrder(X425, H425, T425),IF($D$1="POSITIONS",GetActionStrPosition(F425, S425),"")))</f>
        <v/>
      </c>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row>
    <row r="426" spans="4:33" x14ac:dyDescent="0.25">
      <c r="D426" s="2" t="str">
        <f>IF(E426="","",IF($D$1="ORDER BOOK",GetActionStrOrder(X426, H426, T426),IF($D$1="POSITIONS",GetActionStrPosition(F426, S426),"")))</f>
        <v/>
      </c>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row>
    <row r="427" spans="4:33" x14ac:dyDescent="0.25">
      <c r="D427" s="2" t="str">
        <f>IF(E427="","",IF($D$1="ORDER BOOK",GetActionStrOrder(X427, H427, T427),IF($D$1="POSITIONS",GetActionStrPosition(F427, S427),"")))</f>
        <v/>
      </c>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row>
    <row r="428" spans="4:33" x14ac:dyDescent="0.25">
      <c r="D428" s="2" t="str">
        <f>IF(E428="","",IF($D$1="ORDER BOOK",GetActionStrOrder(X428, H428, T428),IF($D$1="POSITIONS",GetActionStrPosition(F428, S428),"")))</f>
        <v/>
      </c>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row>
    <row r="429" spans="4:33" x14ac:dyDescent="0.25">
      <c r="D429" s="2" t="str">
        <f>IF(E429="","",IF($D$1="ORDER BOOK",GetActionStrOrder(X429, H429, T429),IF($D$1="POSITIONS",GetActionStrPosition(F429, S429),"")))</f>
        <v/>
      </c>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row>
    <row r="430" spans="4:33" x14ac:dyDescent="0.25">
      <c r="D430" s="2" t="str">
        <f>IF(E430="","",IF($D$1="ORDER BOOK",GetActionStrOrder(X430, H430, T430),IF($D$1="POSITIONS",GetActionStrPosition(F430, S430),"")))</f>
        <v/>
      </c>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row>
    <row r="431" spans="4:33" x14ac:dyDescent="0.25">
      <c r="D431" s="2" t="str">
        <f>IF(E431="","",IF($D$1="ORDER BOOK",GetActionStrOrder(X431, H431, T431),IF($D$1="POSITIONS",GetActionStrPosition(F431, S431),"")))</f>
        <v/>
      </c>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row>
    <row r="432" spans="4:33" x14ac:dyDescent="0.25">
      <c r="D432" s="2" t="str">
        <f>IF(E432="","",IF($D$1="ORDER BOOK",GetActionStrOrder(X432, H432, T432),IF($D$1="POSITIONS",GetActionStrPosition(F432, S432),"")))</f>
        <v/>
      </c>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row>
    <row r="433" spans="4:33" x14ac:dyDescent="0.25">
      <c r="D433" s="2" t="str">
        <f>IF(E433="","",IF($D$1="ORDER BOOK",GetActionStrOrder(X433, H433, T433),IF($D$1="POSITIONS",GetActionStrPosition(F433, S433),"")))</f>
        <v/>
      </c>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row>
    <row r="434" spans="4:33" x14ac:dyDescent="0.25">
      <c r="D434" s="2" t="str">
        <f>IF(E434="","",IF($D$1="ORDER BOOK",GetActionStrOrder(X434, H434, T434),IF($D$1="POSITIONS",GetActionStrPosition(F434, S434),"")))</f>
        <v/>
      </c>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row>
    <row r="435" spans="4:33" x14ac:dyDescent="0.25">
      <c r="D435" s="2" t="str">
        <f>IF(E435="","",IF($D$1="ORDER BOOK",GetActionStrOrder(X435, H435, T435),IF($D$1="POSITIONS",GetActionStrPosition(F435, S435),"")))</f>
        <v/>
      </c>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row>
    <row r="436" spans="4:33" x14ac:dyDescent="0.25">
      <c r="D436" s="2" t="str">
        <f>IF(E436="","",IF($D$1="ORDER BOOK",GetActionStrOrder(X436, H436, T436),IF($D$1="POSITIONS",GetActionStrPosition(F436, S436),"")))</f>
        <v/>
      </c>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row>
    <row r="437" spans="4:33" x14ac:dyDescent="0.25">
      <c r="D437" s="2" t="str">
        <f>IF(E437="","",IF($D$1="ORDER BOOK",GetActionStrOrder(X437, H437, T437),IF($D$1="POSITIONS",GetActionStrPosition(F437, S437),"")))</f>
        <v/>
      </c>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row>
    <row r="438" spans="4:33" x14ac:dyDescent="0.25">
      <c r="D438" s="2" t="str">
        <f>IF(E438="","",IF($D$1="ORDER BOOK",GetActionStrOrder(X438, H438, T438),IF($D$1="POSITIONS",GetActionStrPosition(F438, S438),"")))</f>
        <v/>
      </c>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row>
    <row r="439" spans="4:33" x14ac:dyDescent="0.25">
      <c r="D439" s="2" t="str">
        <f>IF(E439="","",IF($D$1="ORDER BOOK",GetActionStrOrder(X439, H439, T439),IF($D$1="POSITIONS",GetActionStrPosition(F439, S439),"")))</f>
        <v/>
      </c>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row>
    <row r="440" spans="4:33" x14ac:dyDescent="0.25">
      <c r="D440" s="2" t="str">
        <f>IF(E440="","",IF($D$1="ORDER BOOK",GetActionStrOrder(X440, H440, T440),IF($D$1="POSITIONS",GetActionStrPosition(F440, S440),"")))</f>
        <v/>
      </c>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row>
    <row r="441" spans="4:33" x14ac:dyDescent="0.25">
      <c r="D441" s="2" t="str">
        <f>IF(E441="","",IF($D$1="ORDER BOOK",GetActionStrOrder(X441, H441, T441),IF($D$1="POSITIONS",GetActionStrPosition(F441, S441),"")))</f>
        <v/>
      </c>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row>
    <row r="442" spans="4:33" x14ac:dyDescent="0.25">
      <c r="D442" s="2" t="str">
        <f>IF(E442="","",IF($D$1="ORDER BOOK",GetActionStrOrder(X442, H442, T442),IF($D$1="POSITIONS",GetActionStrPosition(F442, S442),"")))</f>
        <v/>
      </c>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row>
    <row r="443" spans="4:33" x14ac:dyDescent="0.25">
      <c r="D443" s="2" t="str">
        <f>IF(E443="","",IF($D$1="ORDER BOOK",GetActionStrOrder(X443, H443, T443),IF($D$1="POSITIONS",GetActionStrPosition(F443, S443),"")))</f>
        <v/>
      </c>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row>
    <row r="444" spans="4:33" x14ac:dyDescent="0.25">
      <c r="D444" s="2" t="str">
        <f>IF(E444="","",IF($D$1="ORDER BOOK",GetActionStrOrder(X444, H444, T444),IF($D$1="POSITIONS",GetActionStrPosition(F444, S444),"")))</f>
        <v/>
      </c>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row>
    <row r="445" spans="4:33" x14ac:dyDescent="0.25">
      <c r="D445" s="2" t="str">
        <f>IF(E445="","",IF($D$1="ORDER BOOK",GetActionStrOrder(X445, H445, T445),IF($D$1="POSITIONS",GetActionStrPosition(F445, S445),"")))</f>
        <v/>
      </c>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row>
    <row r="446" spans="4:33" x14ac:dyDescent="0.25">
      <c r="D446" s="2" t="str">
        <f>IF(E446="","",IF($D$1="ORDER BOOK",GetActionStrOrder(X446, H446, T446),IF($D$1="POSITIONS",GetActionStrPosition(F446, S446),"")))</f>
        <v/>
      </c>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row>
    <row r="447" spans="4:33" x14ac:dyDescent="0.25">
      <c r="D447" s="2" t="str">
        <f>IF(E447="","",IF($D$1="ORDER BOOK",GetActionStrOrder(X447, H447, T447),IF($D$1="POSITIONS",GetActionStrPosition(F447, S447),"")))</f>
        <v/>
      </c>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row>
    <row r="448" spans="4:33" x14ac:dyDescent="0.25">
      <c r="D448" s="2" t="str">
        <f>IF(E448="","",IF($D$1="ORDER BOOK",GetActionStrOrder(X448, H448, T448),IF($D$1="POSITIONS",GetActionStrPosition(F448, S448),"")))</f>
        <v/>
      </c>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row>
    <row r="449" spans="4:33" x14ac:dyDescent="0.25">
      <c r="D449" s="2" t="str">
        <f>IF(E449="","",IF($D$1="ORDER BOOK",GetActionStrOrder(X449, H449, T449),IF($D$1="POSITIONS",GetActionStrPosition(F449, S449),"")))</f>
        <v/>
      </c>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row>
    <row r="450" spans="4:33" x14ac:dyDescent="0.25">
      <c r="D450" s="2" t="str">
        <f>IF(E450="","",IF($D$1="ORDER BOOK",GetActionStrOrder(X450, H450, T450),IF($D$1="POSITIONS",GetActionStrPosition(F450, S450),"")))</f>
        <v/>
      </c>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row>
    <row r="451" spans="4:33" x14ac:dyDescent="0.25">
      <c r="D451" s="2" t="str">
        <f>IF(E451="","",IF($D$1="ORDER BOOK",GetActionStrOrder(X451, H451, T451),IF($D$1="POSITIONS",GetActionStrPosition(F451, S451),"")))</f>
        <v/>
      </c>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row>
    <row r="452" spans="4:33" x14ac:dyDescent="0.25">
      <c r="D452" s="2" t="str">
        <f>IF(E452="","",IF($D$1="ORDER BOOK",GetActionStrOrder(X452, H452, T452),IF($D$1="POSITIONS",GetActionStrPosition(F452, S452),"")))</f>
        <v/>
      </c>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row>
    <row r="453" spans="4:33" x14ac:dyDescent="0.25">
      <c r="D453" s="2" t="str">
        <f>IF(E453="","",IF($D$1="ORDER BOOK",GetActionStrOrder(X453, H453, T453),IF($D$1="POSITIONS",GetActionStrPosition(F453, S453),"")))</f>
        <v/>
      </c>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row>
    <row r="454" spans="4:33" x14ac:dyDescent="0.25">
      <c r="D454" s="2" t="str">
        <f>IF(E454="","",IF($D$1="ORDER BOOK",GetActionStrOrder(X454, H454, T454),IF($D$1="POSITIONS",GetActionStrPosition(F454, S454),"")))</f>
        <v/>
      </c>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row>
    <row r="455" spans="4:33" x14ac:dyDescent="0.25">
      <c r="D455" s="2" t="str">
        <f>IF(E455="","",IF($D$1="ORDER BOOK",GetActionStrOrder(X455, H455, T455),IF($D$1="POSITIONS",GetActionStrPosition(F455, S455),"")))</f>
        <v/>
      </c>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row>
    <row r="456" spans="4:33" x14ac:dyDescent="0.25">
      <c r="D456" s="2" t="str">
        <f>IF(E456="","",IF($D$1="ORDER BOOK",GetActionStrOrder(X456, H456, T456),IF($D$1="POSITIONS",GetActionStrPosition(F456, S456),"")))</f>
        <v/>
      </c>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row>
    <row r="457" spans="4:33" x14ac:dyDescent="0.25">
      <c r="D457" s="2" t="str">
        <f>IF(E457="","",IF($D$1="ORDER BOOK",GetActionStrOrder(X457, H457, T457),IF($D$1="POSITIONS",GetActionStrPosition(F457, S457),"")))</f>
        <v/>
      </c>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row>
    <row r="458" spans="4:33" x14ac:dyDescent="0.25">
      <c r="D458" s="2" t="str">
        <f>IF(E458="","",IF($D$1="ORDER BOOK",GetActionStrOrder(X458, H458, T458),IF($D$1="POSITIONS",GetActionStrPosition(F458, S458),"")))</f>
        <v/>
      </c>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row>
    <row r="459" spans="4:33" x14ac:dyDescent="0.25">
      <c r="D459" s="2" t="str">
        <f>IF(E459="","",IF($D$1="ORDER BOOK",GetActionStrOrder(X459, H459, T459),IF($D$1="POSITIONS",GetActionStrPosition(F459, S459),"")))</f>
        <v/>
      </c>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row>
    <row r="460" spans="4:33" x14ac:dyDescent="0.25">
      <c r="D460" s="2" t="str">
        <f>IF(E460="","",IF($D$1="ORDER BOOK",GetActionStrOrder(X460, H460, T460),IF($D$1="POSITIONS",GetActionStrPosition(F460, S460),"")))</f>
        <v/>
      </c>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row>
    <row r="461" spans="4:33" x14ac:dyDescent="0.25">
      <c r="D461" s="2" t="str">
        <f>IF(E461="","",IF($D$1="ORDER BOOK",GetActionStrOrder(X461, H461, T461),IF($D$1="POSITIONS",GetActionStrPosition(F461, S461),"")))</f>
        <v/>
      </c>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row>
    <row r="462" spans="4:33" x14ac:dyDescent="0.25">
      <c r="D462" s="2" t="str">
        <f>IF(E462="","",IF($D$1="ORDER BOOK",GetActionStrOrder(X462, H462, T462),IF($D$1="POSITIONS",GetActionStrPosition(F462, S462),"")))</f>
        <v/>
      </c>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row>
    <row r="463" spans="4:33" x14ac:dyDescent="0.25">
      <c r="D463" s="2" t="str">
        <f>IF(E463="","",IF($D$1="ORDER BOOK",GetActionStrOrder(X463, H463, T463),IF($D$1="POSITIONS",GetActionStrPosition(F463, S463),"")))</f>
        <v/>
      </c>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row>
    <row r="464" spans="4:33" x14ac:dyDescent="0.25">
      <c r="D464" s="2" t="str">
        <f>IF(E464="","",IF($D$1="ORDER BOOK",GetActionStrOrder(X464, H464, T464),IF($D$1="POSITIONS",GetActionStrPosition(F464, S464),"")))</f>
        <v/>
      </c>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row>
    <row r="465" spans="4:33" x14ac:dyDescent="0.25">
      <c r="D465" s="2" t="str">
        <f>IF(E465="","",IF($D$1="ORDER BOOK",GetActionStrOrder(X465, H465, T465),IF($D$1="POSITIONS",GetActionStrPosition(F465, S465),"")))</f>
        <v/>
      </c>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row>
    <row r="466" spans="4:33" x14ac:dyDescent="0.25">
      <c r="D466" s="2" t="str">
        <f>IF(E466="","",IF($D$1="ORDER BOOK",GetActionStrOrder(X466, H466, T466),IF($D$1="POSITIONS",GetActionStrPosition(F466, S466),"")))</f>
        <v/>
      </c>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row>
    <row r="467" spans="4:33" x14ac:dyDescent="0.25">
      <c r="D467" s="2" t="str">
        <f>IF(E467="","",IF($D$1="ORDER BOOK",GetActionStrOrder(X467, H467, T467),IF($D$1="POSITIONS",GetActionStrPosition(F467, S467),"")))</f>
        <v/>
      </c>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row>
    <row r="468" spans="4:33" x14ac:dyDescent="0.25">
      <c r="D468" s="2" t="str">
        <f>IF(E468="","",IF($D$1="ORDER BOOK",GetActionStrOrder(X468, H468, T468),IF($D$1="POSITIONS",GetActionStrPosition(F468, S468),"")))</f>
        <v/>
      </c>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row>
    <row r="469" spans="4:33" x14ac:dyDescent="0.25">
      <c r="D469" s="2" t="str">
        <f>IF(E469="","",IF($D$1="ORDER BOOK",GetActionStrOrder(X469, H469, T469),IF($D$1="POSITIONS",GetActionStrPosition(F469, S469),"")))</f>
        <v/>
      </c>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row>
    <row r="470" spans="4:33" x14ac:dyDescent="0.25">
      <c r="D470" s="2" t="str">
        <f>IF(E470="","",IF($D$1="ORDER BOOK",GetActionStrOrder(X470, H470, T470),IF($D$1="POSITIONS",GetActionStrPosition(F470, S470),"")))</f>
        <v/>
      </c>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row>
    <row r="471" spans="4:33" x14ac:dyDescent="0.25">
      <c r="D471" s="2" t="str">
        <f>IF(E471="","",IF($D$1="ORDER BOOK",GetActionStrOrder(X471, H471, T471),IF($D$1="POSITIONS",GetActionStrPosition(F471, S471),"")))</f>
        <v/>
      </c>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row>
    <row r="472" spans="4:33" x14ac:dyDescent="0.25">
      <c r="D472" s="2" t="str">
        <f>IF(E472="","",IF($D$1="ORDER BOOK",GetActionStrOrder(X472, H472, T472),IF($D$1="POSITIONS",GetActionStrPosition(F472, S472),"")))</f>
        <v/>
      </c>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row>
    <row r="473" spans="4:33" x14ac:dyDescent="0.25">
      <c r="D473" s="2" t="str">
        <f>IF(E473="","",IF($D$1="ORDER BOOK",GetActionStrOrder(X473, H473, T473),IF($D$1="POSITIONS",GetActionStrPosition(F473, S473),"")))</f>
        <v/>
      </c>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row>
    <row r="474" spans="4:33" x14ac:dyDescent="0.25">
      <c r="D474" s="2" t="str">
        <f>IF(E474="","",IF($D$1="ORDER BOOK",GetActionStrOrder(X474, H474, T474),IF($D$1="POSITIONS",GetActionStrPosition(F474, S474),"")))</f>
        <v/>
      </c>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row>
    <row r="475" spans="4:33" x14ac:dyDescent="0.25">
      <c r="D475" s="2" t="str">
        <f>IF(E475="","",IF($D$1="ORDER BOOK",GetActionStrOrder(X475, H475, T475),IF($D$1="POSITIONS",GetActionStrPosition(F475, S475),"")))</f>
        <v/>
      </c>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row>
    <row r="476" spans="4:33" x14ac:dyDescent="0.25">
      <c r="D476" s="2" t="str">
        <f>IF(E476="","",IF($D$1="ORDER BOOK",GetActionStrOrder(X476, H476, T476),IF($D$1="POSITIONS",GetActionStrPosition(F476, S476),"")))</f>
        <v/>
      </c>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row>
    <row r="477" spans="4:33" x14ac:dyDescent="0.25">
      <c r="D477" s="2" t="str">
        <f>IF(E477="","",IF($D$1="ORDER BOOK",GetActionStrOrder(X477, H477, T477),IF($D$1="POSITIONS",GetActionStrPosition(F477, S477),"")))</f>
        <v/>
      </c>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row>
    <row r="478" spans="4:33" x14ac:dyDescent="0.25">
      <c r="D478" s="2" t="str">
        <f>IF(E478="","",IF($D$1="ORDER BOOK",GetActionStrOrder(X478, H478, T478),IF($D$1="POSITIONS",GetActionStrPosition(F478, S478),"")))</f>
        <v/>
      </c>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row>
    <row r="479" spans="4:33" x14ac:dyDescent="0.25">
      <c r="D479" s="2" t="str">
        <f>IF(E479="","",IF($D$1="ORDER BOOK",GetActionStrOrder(X479, H479, T479),IF($D$1="POSITIONS",GetActionStrPosition(F479, S479),"")))</f>
        <v/>
      </c>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row>
    <row r="480" spans="4:33" x14ac:dyDescent="0.25">
      <c r="D480" s="2" t="str">
        <f>IF(E480="","",IF($D$1="ORDER BOOK",GetActionStrOrder(X480, H480, T480),IF($D$1="POSITIONS",GetActionStrPosition(F480, S480),"")))</f>
        <v/>
      </c>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row>
    <row r="481" spans="4:33" x14ac:dyDescent="0.25">
      <c r="D481" s="2" t="str">
        <f>IF(E481="","",IF($D$1="ORDER BOOK",GetActionStrOrder(X481, H481, T481),IF($D$1="POSITIONS",GetActionStrPosition(F481, S481),"")))</f>
        <v/>
      </c>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row>
    <row r="482" spans="4:33" x14ac:dyDescent="0.25">
      <c r="D482" s="2" t="str">
        <f>IF(E482="","",IF($D$1="ORDER BOOK",GetActionStrOrder(X482, H482, T482),IF($D$1="POSITIONS",GetActionStrPosition(F482, S482),"")))</f>
        <v/>
      </c>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row>
    <row r="483" spans="4:33" x14ac:dyDescent="0.25">
      <c r="D483" s="2" t="str">
        <f>IF(E483="","",IF($D$1="ORDER BOOK",GetActionStrOrder(X483, H483, T483),IF($D$1="POSITIONS",GetActionStrPosition(F483, S483),"")))</f>
        <v/>
      </c>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row>
    <row r="484" spans="4:33" x14ac:dyDescent="0.25">
      <c r="D484" s="2" t="str">
        <f>IF(E484="","",IF($D$1="ORDER BOOK",GetActionStrOrder(X484, H484, T484),IF($D$1="POSITIONS",GetActionStrPosition(F484, S484),"")))</f>
        <v/>
      </c>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row>
    <row r="485" spans="4:33" x14ac:dyDescent="0.25">
      <c r="D485" s="2" t="str">
        <f>IF(E485="","",IF($D$1="ORDER BOOK",GetActionStrOrder(X485, H485, T485),IF($D$1="POSITIONS",GetActionStrPosition(F485, S485),"")))</f>
        <v/>
      </c>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row>
    <row r="486" spans="4:33" x14ac:dyDescent="0.25">
      <c r="D486" s="2" t="str">
        <f>IF(E486="","",IF($D$1="ORDER BOOK",GetActionStrOrder(X486, H486, T486),IF($D$1="POSITIONS",GetActionStrPosition(F486, S486),"")))</f>
        <v/>
      </c>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row>
    <row r="487" spans="4:33" x14ac:dyDescent="0.25">
      <c r="D487" s="2" t="str">
        <f>IF(E487="","",IF($D$1="ORDER BOOK",GetActionStrOrder(X487, H487, T487),IF($D$1="POSITIONS",GetActionStrPosition(F487, S487),"")))</f>
        <v/>
      </c>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row>
    <row r="488" spans="4:33" x14ac:dyDescent="0.25">
      <c r="D488" s="2" t="str">
        <f>IF(E488="","",IF($D$1="ORDER BOOK",GetActionStrOrder(X488, H488, T488),IF($D$1="POSITIONS",GetActionStrPosition(F488, S488),"")))</f>
        <v/>
      </c>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row>
    <row r="489" spans="4:33" x14ac:dyDescent="0.25">
      <c r="D489" s="2" t="str">
        <f>IF(E489="","",IF($D$1="ORDER BOOK",GetActionStrOrder(X489, H489, T489),IF($D$1="POSITIONS",GetActionStrPosition(F489, S489),"")))</f>
        <v/>
      </c>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row>
    <row r="490" spans="4:33" x14ac:dyDescent="0.25">
      <c r="D490" s="2" t="str">
        <f>IF(E490="","",IF($D$1="ORDER BOOK",GetActionStrOrder(X490, H490, T490),IF($D$1="POSITIONS",GetActionStrPosition(F490, S490),"")))</f>
        <v/>
      </c>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row>
    <row r="491" spans="4:33" x14ac:dyDescent="0.25">
      <c r="D491" s="2" t="str">
        <f>IF(E491="","",IF($D$1="ORDER BOOK",GetActionStrOrder(X491, H491, T491),IF($D$1="POSITIONS",GetActionStrPosition(F491, S491),"")))</f>
        <v/>
      </c>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row>
    <row r="492" spans="4:33" x14ac:dyDescent="0.25">
      <c r="D492" s="2" t="str">
        <f>IF(E492="","",IF($D$1="ORDER BOOK",GetActionStrOrder(X492, H492, T492),IF($D$1="POSITIONS",GetActionStrPosition(F492, S492),"")))</f>
        <v/>
      </c>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row>
    <row r="493" spans="4:33" x14ac:dyDescent="0.25">
      <c r="D493" s="2" t="str">
        <f>IF(E493="","",IF($D$1="ORDER BOOK",GetActionStrOrder(X493, H493, T493),IF($D$1="POSITIONS",GetActionStrPosition(F493, S493),"")))</f>
        <v/>
      </c>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row>
    <row r="494" spans="4:33" x14ac:dyDescent="0.25">
      <c r="D494" s="2" t="str">
        <f>IF(E494="","",IF($D$1="ORDER BOOK",GetActionStrOrder(X494, H494, T494),IF($D$1="POSITIONS",GetActionStrPosition(F494, S494),"")))</f>
        <v/>
      </c>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row>
    <row r="495" spans="4:33" x14ac:dyDescent="0.25">
      <c r="D495" s="2" t="str">
        <f>IF(E495="","",IF($D$1="ORDER BOOK",GetActionStrOrder(X495, H495, T495),IF($D$1="POSITIONS",GetActionStrPosition(F495, S495),"")))</f>
        <v/>
      </c>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row>
    <row r="496" spans="4:33" x14ac:dyDescent="0.25">
      <c r="D496" s="2" t="str">
        <f>IF(E496="","",IF($D$1="ORDER BOOK",GetActionStrOrder(X496, H496, T496),IF($D$1="POSITIONS",GetActionStrPosition(F496, S496),"")))</f>
        <v/>
      </c>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row>
    <row r="497" spans="4:33" x14ac:dyDescent="0.25">
      <c r="D497" s="2" t="str">
        <f>IF(E497="","",IF($D$1="ORDER BOOK",GetActionStrOrder(X497, H497, T497),IF($D$1="POSITIONS",GetActionStrPosition(F497, S497),"")))</f>
        <v/>
      </c>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row>
    <row r="498" spans="4:33" x14ac:dyDescent="0.25">
      <c r="D498" s="2" t="str">
        <f>IF(E498="","",IF($D$1="ORDER BOOK",GetActionStrOrder(X498, H498, T498),IF($D$1="POSITIONS",GetActionStrPosition(F498, S498),"")))</f>
        <v/>
      </c>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row>
    <row r="499" spans="4:33" x14ac:dyDescent="0.25">
      <c r="D499" s="2" t="str">
        <f>IF(E499="","",IF($D$1="ORDER BOOK",GetActionStrOrder(X499, H499, T499),IF($D$1="POSITIONS",GetActionStrPosition(F499, S499),"")))</f>
        <v/>
      </c>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row>
    <row r="500" spans="4:33" x14ac:dyDescent="0.25">
      <c r="D500" s="2" t="str">
        <f>IF(E500="","",IF($D$1="ORDER BOOK",GetActionStrOrder(X500, H500, T500),IF($D$1="POSITIONS",GetActionStrPosition(F500, S500),"")))</f>
        <v/>
      </c>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row>
  </sheetData>
  <sheetProtection algorithmName="SHA-512" hashValue="ycaaceNV3BlEAYuypxAgYv1My7HzoMRwC1cVdk9uTZ2Ft9n1Q4QQIQ7Z4npBVIalYeEN2atRFhO+MBljGpWisA==" saltValue="5dIUa4b/StRaaUG2l+79DA==" spinCount="100000" sheet="1" objects="1" scenarios="1" formatCells="0" formatColumns="0" formatRows="0"/>
  <mergeCells count="1">
    <mergeCell ref="D1:AG1"/>
  </mergeCells>
  <conditionalFormatting sqref="D2:D500">
    <cfRule type="containsText" dxfId="6" priority="4" operator="containsText" text="MODIFY">
      <formula>NOT(ISERROR(SEARCH("MODIFY",D2)))</formula>
    </cfRule>
  </conditionalFormatting>
  <conditionalFormatting sqref="D3:D500">
    <cfRule type="containsText" dxfId="5" priority="1" operator="containsText" text="EXIT OCO">
      <formula>NOT(ISERROR(SEARCH("EXIT OCO",D3)))</formula>
    </cfRule>
    <cfRule type="containsText" dxfId="4" priority="2" operator="containsText" text="EXIT CO">
      <formula>NOT(ISERROR(SEARCH("EXIT CO",D3)))</formula>
    </cfRule>
    <cfRule type="containsText" dxfId="3" priority="3" operator="containsText" text="SQOFF">
      <formula>NOT(ISERROR(SEARCH("SQOFF",D3)))</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65" r:id="rId4" name="CheckLatencyButton">
          <controlPr defaultSize="0" print="0" autoLine="0" r:id="rId5">
            <anchor moveWithCells="1">
              <from>
                <xdr:col>1</xdr:col>
                <xdr:colOff>47625</xdr:colOff>
                <xdr:row>11</xdr:row>
                <xdr:rowOff>19050</xdr:rowOff>
              </from>
              <to>
                <xdr:col>1</xdr:col>
                <xdr:colOff>1295400</xdr:colOff>
                <xdr:row>12</xdr:row>
                <xdr:rowOff>114300</xdr:rowOff>
              </to>
            </anchor>
          </controlPr>
        </control>
      </mc:Choice>
      <mc:Fallback>
        <control shapeId="2065" r:id="rId4" name="CheckLatencyButton"/>
      </mc:Fallback>
    </mc:AlternateContent>
    <mc:AlternateContent xmlns:mc="http://schemas.openxmlformats.org/markup-compatibility/2006">
      <mc:Choice Requires="x14">
        <control shapeId="2064" r:id="rId6" name="ModifyOrderButton">
          <controlPr defaultSize="0" print="0" autoLine="0" r:id="rId7">
            <anchor moveWithCells="1">
              <from>
                <xdr:col>1</xdr:col>
                <xdr:colOff>1419225</xdr:colOff>
                <xdr:row>12</xdr:row>
                <xdr:rowOff>171450</xdr:rowOff>
              </from>
              <to>
                <xdr:col>1</xdr:col>
                <xdr:colOff>2667000</xdr:colOff>
                <xdr:row>14</xdr:row>
                <xdr:rowOff>85725</xdr:rowOff>
              </to>
            </anchor>
          </controlPr>
        </control>
      </mc:Choice>
      <mc:Fallback>
        <control shapeId="2064" r:id="rId6" name="ModifyOrderButton"/>
      </mc:Fallback>
    </mc:AlternateContent>
    <mc:AlternateContent xmlns:mc="http://schemas.openxmlformats.org/markup-compatibility/2006">
      <mc:Choice Requires="x14">
        <control shapeId="2063" r:id="rId8" name="TokenManualButton">
          <controlPr defaultSize="0" print="0" autoLine="0" r:id="rId9">
            <anchor moveWithCells="1">
              <from>
                <xdr:col>1</xdr:col>
                <xdr:colOff>1419225</xdr:colOff>
                <xdr:row>3</xdr:row>
                <xdr:rowOff>38100</xdr:rowOff>
              </from>
              <to>
                <xdr:col>1</xdr:col>
                <xdr:colOff>2667000</xdr:colOff>
                <xdr:row>4</xdr:row>
                <xdr:rowOff>133350</xdr:rowOff>
              </to>
            </anchor>
          </controlPr>
        </control>
      </mc:Choice>
      <mc:Fallback>
        <control shapeId="2063" r:id="rId8" name="TokenManualButton"/>
      </mc:Fallback>
    </mc:AlternateContent>
    <mc:AlternateContent xmlns:mc="http://schemas.openxmlformats.org/markup-compatibility/2006">
      <mc:Choice Requires="x14">
        <control shapeId="2062" r:id="rId10" name="BatchOrderButton">
          <controlPr defaultSize="0" print="0" autoLine="0" r:id="rId11">
            <anchor moveWithCells="1">
              <from>
                <xdr:col>1</xdr:col>
                <xdr:colOff>1409700</xdr:colOff>
                <xdr:row>9</xdr:row>
                <xdr:rowOff>9525</xdr:rowOff>
              </from>
              <to>
                <xdr:col>1</xdr:col>
                <xdr:colOff>2657475</xdr:colOff>
                <xdr:row>10</xdr:row>
                <xdr:rowOff>104775</xdr:rowOff>
              </to>
            </anchor>
          </controlPr>
        </control>
      </mc:Choice>
      <mc:Fallback>
        <control shapeId="2062" r:id="rId10" name="BatchOrderButton"/>
      </mc:Fallback>
    </mc:AlternateContent>
    <mc:AlternateContent xmlns:mc="http://schemas.openxmlformats.org/markup-compatibility/2006">
      <mc:Choice Requires="x14">
        <control shapeId="2061" r:id="rId12" name="LoginManualButton">
          <controlPr defaultSize="0" print="0" autoLine="0" r:id="rId13">
            <anchor moveWithCells="1">
              <from>
                <xdr:col>1</xdr:col>
                <xdr:colOff>47625</xdr:colOff>
                <xdr:row>3</xdr:row>
                <xdr:rowOff>47625</xdr:rowOff>
              </from>
              <to>
                <xdr:col>1</xdr:col>
                <xdr:colOff>1295400</xdr:colOff>
                <xdr:row>4</xdr:row>
                <xdr:rowOff>142875</xdr:rowOff>
              </to>
            </anchor>
          </controlPr>
        </control>
      </mc:Choice>
      <mc:Fallback>
        <control shapeId="2061" r:id="rId12" name="LoginManualButton"/>
      </mc:Fallback>
    </mc:AlternateContent>
    <mc:AlternateContent xmlns:mc="http://schemas.openxmlformats.org/markup-compatibility/2006">
      <mc:Choice Requires="x14">
        <control shapeId="2060" r:id="rId14" name="PlaceOrderButton">
          <controlPr defaultSize="0" print="0" autoLine="0" r:id="rId15">
            <anchor moveWithCells="1">
              <from>
                <xdr:col>1</xdr:col>
                <xdr:colOff>47625</xdr:colOff>
                <xdr:row>13</xdr:row>
                <xdr:rowOff>0</xdr:rowOff>
              </from>
              <to>
                <xdr:col>1</xdr:col>
                <xdr:colOff>1295400</xdr:colOff>
                <xdr:row>14</xdr:row>
                <xdr:rowOff>95250</xdr:rowOff>
              </to>
            </anchor>
          </controlPr>
        </control>
      </mc:Choice>
      <mc:Fallback>
        <control shapeId="2060" r:id="rId14" name="PlaceOrderButton"/>
      </mc:Fallback>
    </mc:AlternateContent>
    <mc:AlternateContent xmlns:mc="http://schemas.openxmlformats.org/markup-compatibility/2006">
      <mc:Choice Requires="x14">
        <control shapeId="2059" r:id="rId16" name="LoginButton">
          <controlPr defaultSize="0" print="0" autoLine="0" r:id="rId17">
            <anchor moveWithCells="1">
              <from>
                <xdr:col>1</xdr:col>
                <xdr:colOff>47625</xdr:colOff>
                <xdr:row>1</xdr:row>
                <xdr:rowOff>57150</xdr:rowOff>
              </from>
              <to>
                <xdr:col>1</xdr:col>
                <xdr:colOff>1295400</xdr:colOff>
                <xdr:row>2</xdr:row>
                <xdr:rowOff>152400</xdr:rowOff>
              </to>
            </anchor>
          </controlPr>
        </control>
      </mc:Choice>
      <mc:Fallback>
        <control shapeId="2059" r:id="rId16" name="LoginButton"/>
      </mc:Fallback>
    </mc:AlternateContent>
    <mc:AlternateContent xmlns:mc="http://schemas.openxmlformats.org/markup-compatibility/2006">
      <mc:Choice Requires="x14">
        <control shapeId="2058" r:id="rId18" name="SettingsButton">
          <controlPr defaultSize="0" print="0" autoLine="0" r:id="rId19">
            <anchor moveWithCells="1">
              <from>
                <xdr:col>1</xdr:col>
                <xdr:colOff>1409700</xdr:colOff>
                <xdr:row>14</xdr:row>
                <xdr:rowOff>161925</xdr:rowOff>
              </from>
              <to>
                <xdr:col>1</xdr:col>
                <xdr:colOff>2657475</xdr:colOff>
                <xdr:row>16</xdr:row>
                <xdr:rowOff>76200</xdr:rowOff>
              </to>
            </anchor>
          </controlPr>
        </control>
      </mc:Choice>
      <mc:Fallback>
        <control shapeId="2058" r:id="rId18" name="SettingsButton"/>
      </mc:Fallback>
    </mc:AlternateContent>
    <mc:AlternateContent xmlns:mc="http://schemas.openxmlformats.org/markup-compatibility/2006">
      <mc:Choice Requires="x14">
        <control shapeId="2057" r:id="rId20" name="SymbolStatusButton">
          <controlPr defaultSize="0" print="0" autoLine="0" r:id="rId21">
            <anchor moveWithCells="1">
              <from>
                <xdr:col>1</xdr:col>
                <xdr:colOff>1409700</xdr:colOff>
                <xdr:row>11</xdr:row>
                <xdr:rowOff>0</xdr:rowOff>
              </from>
              <to>
                <xdr:col>1</xdr:col>
                <xdr:colOff>2657475</xdr:colOff>
                <xdr:row>12</xdr:row>
                <xdr:rowOff>95250</xdr:rowOff>
              </to>
            </anchor>
          </controlPr>
        </control>
      </mc:Choice>
      <mc:Fallback>
        <control shapeId="2057" r:id="rId20" name="SymbolStatusButton"/>
      </mc:Fallback>
    </mc:AlternateContent>
    <mc:AlternateContent xmlns:mc="http://schemas.openxmlformats.org/markup-compatibility/2006">
      <mc:Choice Requires="x14">
        <control shapeId="2056" r:id="rId22" name="FundsButton">
          <controlPr defaultSize="0" print="0" autoLine="0" r:id="rId23">
            <anchor moveWithCells="1">
              <from>
                <xdr:col>1</xdr:col>
                <xdr:colOff>47625</xdr:colOff>
                <xdr:row>9</xdr:row>
                <xdr:rowOff>19050</xdr:rowOff>
              </from>
              <to>
                <xdr:col>1</xdr:col>
                <xdr:colOff>1295400</xdr:colOff>
                <xdr:row>10</xdr:row>
                <xdr:rowOff>114300</xdr:rowOff>
              </to>
            </anchor>
          </controlPr>
        </control>
      </mc:Choice>
      <mc:Fallback>
        <control shapeId="2056" r:id="rId22" name="FundsButton"/>
      </mc:Fallback>
    </mc:AlternateContent>
    <mc:AlternateContent xmlns:mc="http://schemas.openxmlformats.org/markup-compatibility/2006">
      <mc:Choice Requires="x14">
        <control shapeId="2055" r:id="rId24" name="PositionsButton">
          <controlPr defaultSize="0" print="0" autoLine="0" r:id="rId25">
            <anchor moveWithCells="1">
              <from>
                <xdr:col>1</xdr:col>
                <xdr:colOff>47625</xdr:colOff>
                <xdr:row>7</xdr:row>
                <xdr:rowOff>28575</xdr:rowOff>
              </from>
              <to>
                <xdr:col>1</xdr:col>
                <xdr:colOff>1295400</xdr:colOff>
                <xdr:row>8</xdr:row>
                <xdr:rowOff>123825</xdr:rowOff>
              </to>
            </anchor>
          </controlPr>
        </control>
      </mc:Choice>
      <mc:Fallback>
        <control shapeId="2055" r:id="rId24" name="PositionsButton"/>
      </mc:Fallback>
    </mc:AlternateContent>
    <mc:AlternateContent xmlns:mc="http://schemas.openxmlformats.org/markup-compatibility/2006">
      <mc:Choice Requires="x14">
        <control shapeId="2054" r:id="rId26" name="OrderBookButton">
          <controlPr defaultSize="0" print="0" autoLine="0" r:id="rId27">
            <anchor moveWithCells="1">
              <from>
                <xdr:col>1</xdr:col>
                <xdr:colOff>47625</xdr:colOff>
                <xdr:row>5</xdr:row>
                <xdr:rowOff>38100</xdr:rowOff>
              </from>
              <to>
                <xdr:col>1</xdr:col>
                <xdr:colOff>1295400</xdr:colOff>
                <xdr:row>6</xdr:row>
                <xdr:rowOff>133350</xdr:rowOff>
              </to>
            </anchor>
          </controlPr>
        </control>
      </mc:Choice>
      <mc:Fallback>
        <control shapeId="2054" r:id="rId26" name="OrderBookButton"/>
      </mc:Fallback>
    </mc:AlternateContent>
    <mc:AlternateContent xmlns:mc="http://schemas.openxmlformats.org/markup-compatibility/2006">
      <mc:Choice Requires="x14">
        <control shapeId="2053" r:id="rId28" name="TradeBookButton">
          <controlPr defaultSize="0" print="0" autoLine="0" r:id="rId29">
            <anchor moveWithCells="1">
              <from>
                <xdr:col>1</xdr:col>
                <xdr:colOff>1409700</xdr:colOff>
                <xdr:row>5</xdr:row>
                <xdr:rowOff>28575</xdr:rowOff>
              </from>
              <to>
                <xdr:col>1</xdr:col>
                <xdr:colOff>2657475</xdr:colOff>
                <xdr:row>6</xdr:row>
                <xdr:rowOff>123825</xdr:rowOff>
              </to>
            </anchor>
          </controlPr>
        </control>
      </mc:Choice>
      <mc:Fallback>
        <control shapeId="2053" r:id="rId28" name="TradeBookButton"/>
      </mc:Fallback>
    </mc:AlternateContent>
    <mc:AlternateContent xmlns:mc="http://schemas.openxmlformats.org/markup-compatibility/2006">
      <mc:Choice Requires="x14">
        <control shapeId="2052" r:id="rId30" name="HoldingsButton">
          <controlPr defaultSize="0" print="0" autoLine="0" r:id="rId31">
            <anchor moveWithCells="1">
              <from>
                <xdr:col>1</xdr:col>
                <xdr:colOff>1409700</xdr:colOff>
                <xdr:row>7</xdr:row>
                <xdr:rowOff>19050</xdr:rowOff>
              </from>
              <to>
                <xdr:col>1</xdr:col>
                <xdr:colOff>2657475</xdr:colOff>
                <xdr:row>8</xdr:row>
                <xdr:rowOff>114300</xdr:rowOff>
              </to>
            </anchor>
          </controlPr>
        </control>
      </mc:Choice>
      <mc:Fallback>
        <control shapeId="2052" r:id="rId30" name="HoldingsButton"/>
      </mc:Fallback>
    </mc:AlternateContent>
    <mc:AlternateContent xmlns:mc="http://schemas.openxmlformats.org/markup-compatibility/2006">
      <mc:Choice Requires="x14">
        <control shapeId="2051" r:id="rId32" name="LogoutButton">
          <controlPr defaultSize="0" print="0" autoLine="0" r:id="rId33">
            <anchor moveWithCells="1">
              <from>
                <xdr:col>1</xdr:col>
                <xdr:colOff>1419225</xdr:colOff>
                <xdr:row>1</xdr:row>
                <xdr:rowOff>47625</xdr:rowOff>
              </from>
              <to>
                <xdr:col>1</xdr:col>
                <xdr:colOff>2667000</xdr:colOff>
                <xdr:row>2</xdr:row>
                <xdr:rowOff>142875</xdr:rowOff>
              </to>
            </anchor>
          </controlPr>
        </control>
      </mc:Choice>
      <mc:Fallback>
        <control shapeId="2051" r:id="rId32" name="LogoutButton"/>
      </mc:Fallback>
    </mc:AlternateContent>
    <mc:AlternateContent xmlns:mc="http://schemas.openxmlformats.org/markup-compatibility/2006">
      <mc:Choice Requires="x14">
        <control shapeId="2066" r:id="rId34" name="HistDataButton">
          <controlPr defaultSize="0" print="0" autoLine="0" r:id="rId35">
            <anchor moveWithCells="1">
              <from>
                <xdr:col>1</xdr:col>
                <xdr:colOff>47625</xdr:colOff>
                <xdr:row>14</xdr:row>
                <xdr:rowOff>171450</xdr:rowOff>
              </from>
              <to>
                <xdr:col>1</xdr:col>
                <xdr:colOff>1295400</xdr:colOff>
                <xdr:row>16</xdr:row>
                <xdr:rowOff>85725</xdr:rowOff>
              </to>
            </anchor>
          </controlPr>
        </control>
      </mc:Choice>
      <mc:Fallback>
        <control shapeId="2066" r:id="rId34" name="HistDataButton"/>
      </mc:Fallback>
    </mc:AlternateContent>
    <mc:AlternateContent xmlns:mc="http://schemas.openxmlformats.org/markup-compatibility/2006">
      <mc:Choice Requires="x14">
        <control shapeId="2071" r:id="rId36" name="LogsButton">
          <controlPr defaultSize="0" print="0" autoLine="0" r:id="rId37">
            <anchor moveWithCells="1">
              <from>
                <xdr:col>1</xdr:col>
                <xdr:colOff>57150</xdr:colOff>
                <xdr:row>20</xdr:row>
                <xdr:rowOff>95250</xdr:rowOff>
              </from>
              <to>
                <xdr:col>1</xdr:col>
                <xdr:colOff>1304925</xdr:colOff>
                <xdr:row>22</xdr:row>
                <xdr:rowOff>9525</xdr:rowOff>
              </to>
            </anchor>
          </controlPr>
        </control>
      </mc:Choice>
      <mc:Fallback>
        <control shapeId="2071" r:id="rId36" name="LogsButton"/>
      </mc:Fallback>
    </mc:AlternateContent>
    <mc:AlternateContent xmlns:mc="http://schemas.openxmlformats.org/markup-compatibility/2006">
      <mc:Choice Requires="x14">
        <control shapeId="2072" r:id="rId38" name="BridgePositionsButton">
          <controlPr defaultSize="0" print="0" autoLine="0" r:id="rId39">
            <anchor moveWithCells="1">
              <from>
                <xdr:col>1</xdr:col>
                <xdr:colOff>47625</xdr:colOff>
                <xdr:row>22</xdr:row>
                <xdr:rowOff>85725</xdr:rowOff>
              </from>
              <to>
                <xdr:col>1</xdr:col>
                <xdr:colOff>1295400</xdr:colOff>
                <xdr:row>24</xdr:row>
                <xdr:rowOff>0</xdr:rowOff>
              </to>
            </anchor>
          </controlPr>
        </control>
      </mc:Choice>
      <mc:Fallback>
        <control shapeId="2072" r:id="rId38" name="BridgePositionsButton"/>
      </mc:Fallback>
    </mc:AlternateContent>
    <mc:AlternateContent xmlns:mc="http://schemas.openxmlformats.org/markup-compatibility/2006">
      <mc:Choice Requires="x14">
        <control shapeId="2073" r:id="rId40" name="OrderWindowButton">
          <controlPr defaultSize="0" print="0" autoLine="0" r:id="rId41">
            <anchor moveWithCells="1">
              <from>
                <xdr:col>1</xdr:col>
                <xdr:colOff>1409700</xdr:colOff>
                <xdr:row>20</xdr:row>
                <xdr:rowOff>95250</xdr:rowOff>
              </from>
              <to>
                <xdr:col>1</xdr:col>
                <xdr:colOff>2657475</xdr:colOff>
                <xdr:row>22</xdr:row>
                <xdr:rowOff>9525</xdr:rowOff>
              </to>
            </anchor>
          </controlPr>
        </control>
      </mc:Choice>
      <mc:Fallback>
        <control shapeId="2073" r:id="rId40" name="OrderWindowButton"/>
      </mc:Fallback>
    </mc:AlternateContent>
    <mc:AlternateContent xmlns:mc="http://schemas.openxmlformats.org/markup-compatibility/2006">
      <mc:Choice Requires="x14">
        <control shapeId="2074" r:id="rId42" name="BridgePositionsAllButton">
          <controlPr defaultSize="0" print="0" autoLine="0" r:id="rId43">
            <anchor moveWithCells="1">
              <from>
                <xdr:col>1</xdr:col>
                <xdr:colOff>1409700</xdr:colOff>
                <xdr:row>22</xdr:row>
                <xdr:rowOff>95250</xdr:rowOff>
              </from>
              <to>
                <xdr:col>1</xdr:col>
                <xdr:colOff>2657475</xdr:colOff>
                <xdr:row>24</xdr:row>
                <xdr:rowOff>9525</xdr:rowOff>
              </to>
            </anchor>
          </controlPr>
        </control>
      </mc:Choice>
      <mc:Fallback>
        <control shapeId="2074" r:id="rId42" name="BridgePositionsAll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P202"/>
  <sheetViews>
    <sheetView showGridLines="0" workbookViewId="0">
      <selection activeCell="C2" sqref="C2"/>
    </sheetView>
  </sheetViews>
  <sheetFormatPr defaultColWidth="0" defaultRowHeight="14.25" customHeight="1" zeroHeight="1" x14ac:dyDescent="0.25"/>
  <cols>
    <col min="1" max="1" width="9.140625" style="15" customWidth="1"/>
    <col min="2" max="2" width="24.42578125" style="15" customWidth="1"/>
    <col min="3" max="3" width="12.140625" style="15" customWidth="1"/>
    <col min="4" max="28" width="9.140625" style="15" customWidth="1"/>
    <col min="29" max="29" width="8.5703125" style="15" customWidth="1"/>
    <col min="30" max="30" width="7.7109375" style="15" customWidth="1"/>
    <col min="31" max="31" width="12.140625" style="15" customWidth="1"/>
    <col min="32" max="32" width="12.85546875" style="15" customWidth="1"/>
    <col min="33" max="33" width="9.140625" style="15" customWidth="1"/>
    <col min="34" max="34" width="10.140625" style="15" customWidth="1"/>
    <col min="35" max="35" width="9.140625" style="15" customWidth="1"/>
    <col min="36" max="36" width="2.7109375" style="15" customWidth="1"/>
    <col min="37" max="42" width="0" style="15" hidden="1" customWidth="1"/>
    <col min="43" max="16384" width="9.140625" style="15" hidden="1"/>
  </cols>
  <sheetData>
    <row r="1" spans="1:35" s="32" customFormat="1" ht="28.5" x14ac:dyDescent="0.25">
      <c r="A1" s="31" t="s">
        <v>7</v>
      </c>
      <c r="B1" s="31" t="s">
        <v>2</v>
      </c>
      <c r="C1" s="31" t="s">
        <v>76</v>
      </c>
      <c r="D1" s="31" t="s">
        <v>77</v>
      </c>
      <c r="E1" s="31" t="s">
        <v>8</v>
      </c>
      <c r="F1" s="31" t="s">
        <v>9</v>
      </c>
      <c r="G1" s="31" t="s">
        <v>30</v>
      </c>
      <c r="H1" s="31" t="s">
        <v>78</v>
      </c>
      <c r="I1" s="31" t="s">
        <v>72</v>
      </c>
      <c r="J1" s="31" t="s">
        <v>73</v>
      </c>
      <c r="K1" s="31" t="s">
        <v>74</v>
      </c>
      <c r="L1" s="31" t="s">
        <v>75</v>
      </c>
      <c r="M1" s="31" t="s">
        <v>10</v>
      </c>
      <c r="N1" s="31" t="s">
        <v>11</v>
      </c>
      <c r="O1" s="31" t="s">
        <v>12</v>
      </c>
      <c r="P1" s="31" t="s">
        <v>13</v>
      </c>
      <c r="Q1" s="31" t="s">
        <v>14</v>
      </c>
      <c r="R1" s="31" t="s">
        <v>15</v>
      </c>
      <c r="S1" s="31" t="s">
        <v>6</v>
      </c>
      <c r="T1" s="31" t="s">
        <v>16</v>
      </c>
      <c r="U1" s="31" t="s">
        <v>17</v>
      </c>
      <c r="V1" s="31" t="s">
        <v>18</v>
      </c>
      <c r="W1" s="31" t="s">
        <v>4</v>
      </c>
      <c r="X1" s="31" t="s">
        <v>5</v>
      </c>
      <c r="Y1" s="31" t="s">
        <v>19</v>
      </c>
      <c r="Z1" s="31" t="s">
        <v>20</v>
      </c>
      <c r="AA1" s="31" t="s">
        <v>21</v>
      </c>
      <c r="AB1" s="31" t="s">
        <v>22</v>
      </c>
      <c r="AC1" s="31" t="s">
        <v>31</v>
      </c>
      <c r="AD1" s="31" t="s">
        <v>32</v>
      </c>
      <c r="AE1" s="31" t="s">
        <v>71</v>
      </c>
      <c r="AF1" s="31" t="s">
        <v>23</v>
      </c>
      <c r="AG1" s="31" t="s">
        <v>24</v>
      </c>
      <c r="AH1" s="31" t="s">
        <v>25</v>
      </c>
      <c r="AI1" s="31" t="s">
        <v>26</v>
      </c>
    </row>
    <row r="2" spans="1:35" x14ac:dyDescent="0.25">
      <c r="A2" s="9" t="s">
        <v>27</v>
      </c>
      <c r="B2" s="9" t="s">
        <v>90</v>
      </c>
      <c r="C2" s="10" t="str">
        <f>IF(D2&gt;0,"MKT DEPTH","")</f>
        <v>MKT DEPTH</v>
      </c>
      <c r="D2" s="11">
        <f>GetRTD(A2,B2,"LAST")</f>
        <v>800.65</v>
      </c>
      <c r="E2" s="11">
        <f>GetRTD(A2,B2,"PCTCHG")</f>
        <v>0.77</v>
      </c>
      <c r="F2" s="11">
        <f>GetRTD(A2,B2,"NETCHG")</f>
        <v>6.1</v>
      </c>
      <c r="G2" s="12">
        <f>GetRTD(A2,B2,"NETQTY")</f>
        <v>0</v>
      </c>
      <c r="H2" s="11">
        <f>GetRTD(A2,B2,"MTM")</f>
        <v>0</v>
      </c>
      <c r="I2" s="11">
        <f>GetRTD(A2,B2,"AVGBOUGHTPRICE")</f>
        <v>0</v>
      </c>
      <c r="J2" s="12">
        <f>GetRTD(A2,B2,"BOUGHTQTY")</f>
        <v>0</v>
      </c>
      <c r="K2" s="11">
        <f>GetRTD(A2,B2,"AVGSOLDPRICE")</f>
        <v>0</v>
      </c>
      <c r="L2" s="12">
        <f>GetRTD(A2,B2,"SOLDQTY")</f>
        <v>0</v>
      </c>
      <c r="M2" s="12">
        <f>GetRTD(A2,B2,"LASTSIZE")</f>
        <v>0</v>
      </c>
      <c r="N2" s="11">
        <f>GetRTD(A2,B2,"BID")</f>
        <v>0</v>
      </c>
      <c r="O2" s="12">
        <f>GetRTD(A2,B2,"BIDSIZE")</f>
        <v>0</v>
      </c>
      <c r="P2" s="11">
        <f>GetRTD(A2,B2,"ASK")</f>
        <v>800.65</v>
      </c>
      <c r="Q2" s="12">
        <f>GetRTD(A2,B2,"ASKSIZE")</f>
        <v>1666</v>
      </c>
      <c r="R2" s="11">
        <f>GetRTD(A2,B2,"AVGPRICE")</f>
        <v>800.08</v>
      </c>
      <c r="S2" s="12">
        <f>GetRTD(A2,B2,"VOLUME")</f>
        <v>3233608</v>
      </c>
      <c r="T2" s="12">
        <f>GetRTD(A2,B2,"TOTALBUYQTY")</f>
        <v>0</v>
      </c>
      <c r="U2" s="12">
        <f>GetRTD(A2,B2,"TOTALSELLQTY")</f>
        <v>1666</v>
      </c>
      <c r="V2" s="11">
        <f>GetRTD(A2,B2,"OPEN")</f>
        <v>798.95</v>
      </c>
      <c r="W2" s="11">
        <f>GetRTD(A2,B2,"HIGH")</f>
        <v>802.4</v>
      </c>
      <c r="X2" s="11">
        <f>GetRTD(A2,B2,"LOW")</f>
        <v>792.5</v>
      </c>
      <c r="Y2" s="11">
        <f>GetRTD(A2,B2,"CLOSE")</f>
        <v>794.55</v>
      </c>
      <c r="Z2" s="12">
        <f>GetRTD(A2,B2,"OI")</f>
        <v>0</v>
      </c>
      <c r="AA2" s="11">
        <f>GetRTD(A2,B2,"LOWERCKT")</f>
        <v>715.1</v>
      </c>
      <c r="AB2" s="11">
        <f>GetRTD(A2,B2,"UPPERCKT")</f>
        <v>874</v>
      </c>
      <c r="AC2" s="11">
        <f>GetRTD(A2,B2,"YEARLYHIGH")</f>
        <v>1177.45</v>
      </c>
      <c r="AD2" s="11">
        <f>GetRTD(A2,B2,"YEARLYLOW")</f>
        <v>723.65</v>
      </c>
      <c r="AE2" s="13">
        <f>GetRTD(A2,B2,"LUT")</f>
        <v>43301.66646990741</v>
      </c>
      <c r="AF2" s="13">
        <f>GetRTD(A2,B2,"LTT")</f>
        <v>43301.664560185185</v>
      </c>
      <c r="AG2" s="11">
        <f>GetRTD(A2,B2,"SPOT")</f>
        <v>0</v>
      </c>
      <c r="AH2" s="14" t="b">
        <f t="shared" ref="AH2:AH33" si="0">SubscribeQuotes(A2,B2)</f>
        <v>1</v>
      </c>
      <c r="AI2" s="12">
        <f>GetValueColor(B2,D2,"Ltp",AF2)</f>
        <v>0</v>
      </c>
    </row>
    <row r="3" spans="1:35" x14ac:dyDescent="0.25">
      <c r="A3" s="9"/>
      <c r="B3" s="9"/>
      <c r="C3" s="10" t="str">
        <f t="shared" ref="C3:C66" si="1">IF(D3&gt;0,"MKT DEPTH","")</f>
        <v/>
      </c>
      <c r="D3" s="11">
        <f t="shared" ref="D3:D66" si="2">GetRTD(A3,B3,"LAST")</f>
        <v>0</v>
      </c>
      <c r="E3" s="11">
        <f t="shared" ref="E3:E66" si="3">GetRTD(A3,B3,"PCTCHG")</f>
        <v>0</v>
      </c>
      <c r="F3" s="11">
        <f t="shared" ref="F3:F66" si="4">GetRTD(A3,B3,"NETCHG")</f>
        <v>0</v>
      </c>
      <c r="G3" s="12">
        <f t="shared" ref="G3:G66" si="5">GetRTD(A3,B3,"NETQTY")</f>
        <v>0</v>
      </c>
      <c r="H3" s="11">
        <f t="shared" ref="H3:H66" si="6">GetRTD(A3,B3,"MTM")</f>
        <v>0</v>
      </c>
      <c r="I3" s="11">
        <f t="shared" ref="I3:I66" si="7">GetRTD(A3,B3,"AVGBOUGHTPRICE")</f>
        <v>0</v>
      </c>
      <c r="J3" s="12">
        <f t="shared" ref="J3:J66" si="8">GetRTD(A3,B3,"BOUGHTQTY")</f>
        <v>0</v>
      </c>
      <c r="K3" s="11">
        <f t="shared" ref="K3:K66" si="9">GetRTD(A3,B3,"AVGSOLDPRICE")</f>
        <v>0</v>
      </c>
      <c r="L3" s="12">
        <f t="shared" ref="L3:L66" si="10">GetRTD(A3,B3,"SOLDQTY")</f>
        <v>0</v>
      </c>
      <c r="M3" s="12">
        <f t="shared" ref="M3:M66" si="11">GetRTD(A3,B3,"LASTSIZE")</f>
        <v>0</v>
      </c>
      <c r="N3" s="11">
        <f t="shared" ref="N3:N66" si="12">GetRTD(A3,B3,"BID")</f>
        <v>0</v>
      </c>
      <c r="O3" s="12">
        <f t="shared" ref="O3:O66" si="13">GetRTD(A3,B3,"BIDSIZE")</f>
        <v>0</v>
      </c>
      <c r="P3" s="11">
        <f t="shared" ref="P3:P66" si="14">GetRTD(A3,B3,"ASK")</f>
        <v>0</v>
      </c>
      <c r="Q3" s="12">
        <f t="shared" ref="Q3:Q66" si="15">GetRTD(A3,B3,"ASKSIZE")</f>
        <v>0</v>
      </c>
      <c r="R3" s="11">
        <f t="shared" ref="R3:R66" si="16">GetRTD(A3,B3,"AVGPRICE")</f>
        <v>0</v>
      </c>
      <c r="S3" s="12">
        <f t="shared" ref="S3:S66" si="17">GetRTD(A3,B3,"VOLUME")</f>
        <v>0</v>
      </c>
      <c r="T3" s="12">
        <f t="shared" ref="T3:T66" si="18">GetRTD(A3,B3,"TOTALBUYQTY")</f>
        <v>0</v>
      </c>
      <c r="U3" s="12">
        <f t="shared" ref="U3:U66" si="19">GetRTD(A3,B3,"TOTALSELLQTY")</f>
        <v>0</v>
      </c>
      <c r="V3" s="11">
        <f t="shared" ref="V3:V66" si="20">GetRTD(A3,B3,"OPEN")</f>
        <v>0</v>
      </c>
      <c r="W3" s="11">
        <f t="shared" ref="W3:W66" si="21">GetRTD(A3,B3,"HIGH")</f>
        <v>0</v>
      </c>
      <c r="X3" s="11">
        <f t="shared" ref="X3:X66" si="22">GetRTD(A3,B3,"LOW")</f>
        <v>0</v>
      </c>
      <c r="Y3" s="11">
        <f t="shared" ref="Y3:Y66" si="23">GetRTD(A3,B3,"CLOSE")</f>
        <v>0</v>
      </c>
      <c r="Z3" s="12">
        <f t="shared" ref="Z3:Z66" si="24">GetRTD(A3,B3,"OI")</f>
        <v>0</v>
      </c>
      <c r="AA3" s="11">
        <f t="shared" ref="AA3:AA66" si="25">GetRTD(A3,B3,"LOWERCKT")</f>
        <v>0</v>
      </c>
      <c r="AB3" s="11">
        <f t="shared" ref="AB3:AB66" si="26">GetRTD(A3,B3,"UPPERCKT")</f>
        <v>0</v>
      </c>
      <c r="AC3" s="11">
        <f t="shared" ref="AC3:AC66" si="27">GetRTD(A3,B3,"YEARLYHIGH")</f>
        <v>0</v>
      </c>
      <c r="AD3" s="11">
        <f t="shared" ref="AD3:AD66" si="28">GetRTD(A3,B3,"YEARLYLOW")</f>
        <v>0</v>
      </c>
      <c r="AE3" s="13">
        <f t="shared" ref="AE3:AE66" si="29">GetRTD(A3,B3,"LUT")</f>
        <v>0</v>
      </c>
      <c r="AF3" s="13">
        <f t="shared" ref="AF3:AF66" si="30">GetRTD(A3,B3,"LTT")</f>
        <v>0</v>
      </c>
      <c r="AG3" s="11">
        <f t="shared" ref="AG3:AG66" si="31">GetRTD(A3,B3,"SPOT")</f>
        <v>0</v>
      </c>
      <c r="AH3" s="14" t="str">
        <f t="shared" si="0"/>
        <v>InvalidSymbolDetails</v>
      </c>
      <c r="AI3" s="12">
        <f t="shared" ref="AI3:AI66" si="32">GetValueColor(B3,D3,"Ltp",AF3)</f>
        <v>0</v>
      </c>
    </row>
    <row r="4" spans="1:35" x14ac:dyDescent="0.25">
      <c r="A4" s="9"/>
      <c r="B4" s="9"/>
      <c r="C4" s="10" t="str">
        <f t="shared" si="1"/>
        <v/>
      </c>
      <c r="D4" s="11">
        <f t="shared" si="2"/>
        <v>0</v>
      </c>
      <c r="E4" s="11">
        <f t="shared" si="3"/>
        <v>0</v>
      </c>
      <c r="F4" s="11">
        <f t="shared" si="4"/>
        <v>0</v>
      </c>
      <c r="G4" s="12">
        <f t="shared" si="5"/>
        <v>0</v>
      </c>
      <c r="H4" s="11">
        <f t="shared" si="6"/>
        <v>0</v>
      </c>
      <c r="I4" s="11">
        <f t="shared" si="7"/>
        <v>0</v>
      </c>
      <c r="J4" s="12">
        <f t="shared" si="8"/>
        <v>0</v>
      </c>
      <c r="K4" s="11">
        <f t="shared" si="9"/>
        <v>0</v>
      </c>
      <c r="L4" s="12">
        <f t="shared" si="10"/>
        <v>0</v>
      </c>
      <c r="M4" s="12">
        <f t="shared" si="11"/>
        <v>0</v>
      </c>
      <c r="N4" s="11">
        <f t="shared" si="12"/>
        <v>0</v>
      </c>
      <c r="O4" s="12">
        <f t="shared" si="13"/>
        <v>0</v>
      </c>
      <c r="P4" s="11">
        <f t="shared" si="14"/>
        <v>0</v>
      </c>
      <c r="Q4" s="12">
        <f t="shared" si="15"/>
        <v>0</v>
      </c>
      <c r="R4" s="11">
        <f t="shared" si="16"/>
        <v>0</v>
      </c>
      <c r="S4" s="12">
        <f t="shared" si="17"/>
        <v>0</v>
      </c>
      <c r="T4" s="12">
        <f t="shared" si="18"/>
        <v>0</v>
      </c>
      <c r="U4" s="12">
        <f t="shared" si="19"/>
        <v>0</v>
      </c>
      <c r="V4" s="11">
        <f t="shared" si="20"/>
        <v>0</v>
      </c>
      <c r="W4" s="11">
        <f t="shared" si="21"/>
        <v>0</v>
      </c>
      <c r="X4" s="11">
        <f t="shared" si="22"/>
        <v>0</v>
      </c>
      <c r="Y4" s="11">
        <f t="shared" si="23"/>
        <v>0</v>
      </c>
      <c r="Z4" s="12">
        <f t="shared" si="24"/>
        <v>0</v>
      </c>
      <c r="AA4" s="11">
        <f t="shared" si="25"/>
        <v>0</v>
      </c>
      <c r="AB4" s="11">
        <f t="shared" si="26"/>
        <v>0</v>
      </c>
      <c r="AC4" s="11">
        <f t="shared" si="27"/>
        <v>0</v>
      </c>
      <c r="AD4" s="11">
        <f t="shared" si="28"/>
        <v>0</v>
      </c>
      <c r="AE4" s="13">
        <f t="shared" si="29"/>
        <v>0</v>
      </c>
      <c r="AF4" s="13">
        <f t="shared" si="30"/>
        <v>0</v>
      </c>
      <c r="AG4" s="11">
        <f t="shared" si="31"/>
        <v>0</v>
      </c>
      <c r="AH4" s="14" t="str">
        <f t="shared" si="0"/>
        <v>InvalidSymbolDetails</v>
      </c>
      <c r="AI4" s="12">
        <f t="shared" si="32"/>
        <v>0</v>
      </c>
    </row>
    <row r="5" spans="1:35" x14ac:dyDescent="0.25">
      <c r="A5" s="9"/>
      <c r="B5" s="9"/>
      <c r="C5" s="10" t="str">
        <f t="shared" si="1"/>
        <v/>
      </c>
      <c r="D5" s="11">
        <f t="shared" si="2"/>
        <v>0</v>
      </c>
      <c r="E5" s="11">
        <f t="shared" si="3"/>
        <v>0</v>
      </c>
      <c r="F5" s="11">
        <f t="shared" si="4"/>
        <v>0</v>
      </c>
      <c r="G5" s="12">
        <f t="shared" si="5"/>
        <v>0</v>
      </c>
      <c r="H5" s="11">
        <f t="shared" si="6"/>
        <v>0</v>
      </c>
      <c r="I5" s="11">
        <f t="shared" si="7"/>
        <v>0</v>
      </c>
      <c r="J5" s="12">
        <f t="shared" si="8"/>
        <v>0</v>
      </c>
      <c r="K5" s="11">
        <f t="shared" si="9"/>
        <v>0</v>
      </c>
      <c r="L5" s="12">
        <f t="shared" si="10"/>
        <v>0</v>
      </c>
      <c r="M5" s="12">
        <f t="shared" si="11"/>
        <v>0</v>
      </c>
      <c r="N5" s="11">
        <f t="shared" si="12"/>
        <v>0</v>
      </c>
      <c r="O5" s="12">
        <f t="shared" si="13"/>
        <v>0</v>
      </c>
      <c r="P5" s="11">
        <f t="shared" si="14"/>
        <v>0</v>
      </c>
      <c r="Q5" s="12">
        <f t="shared" si="15"/>
        <v>0</v>
      </c>
      <c r="R5" s="11">
        <f t="shared" si="16"/>
        <v>0</v>
      </c>
      <c r="S5" s="12">
        <f t="shared" si="17"/>
        <v>0</v>
      </c>
      <c r="T5" s="12">
        <f t="shared" si="18"/>
        <v>0</v>
      </c>
      <c r="U5" s="12">
        <f t="shared" si="19"/>
        <v>0</v>
      </c>
      <c r="V5" s="11">
        <f t="shared" si="20"/>
        <v>0</v>
      </c>
      <c r="W5" s="11">
        <f t="shared" si="21"/>
        <v>0</v>
      </c>
      <c r="X5" s="11">
        <f t="shared" si="22"/>
        <v>0</v>
      </c>
      <c r="Y5" s="11">
        <f t="shared" si="23"/>
        <v>0</v>
      </c>
      <c r="Z5" s="12">
        <f t="shared" si="24"/>
        <v>0</v>
      </c>
      <c r="AA5" s="11">
        <f t="shared" si="25"/>
        <v>0</v>
      </c>
      <c r="AB5" s="11">
        <f t="shared" si="26"/>
        <v>0</v>
      </c>
      <c r="AC5" s="11">
        <f t="shared" si="27"/>
        <v>0</v>
      </c>
      <c r="AD5" s="11">
        <f t="shared" si="28"/>
        <v>0</v>
      </c>
      <c r="AE5" s="13">
        <f t="shared" si="29"/>
        <v>0</v>
      </c>
      <c r="AF5" s="13">
        <f t="shared" si="30"/>
        <v>0</v>
      </c>
      <c r="AG5" s="11">
        <f t="shared" si="31"/>
        <v>0</v>
      </c>
      <c r="AH5" s="14" t="str">
        <f t="shared" si="0"/>
        <v>InvalidSymbolDetails</v>
      </c>
      <c r="AI5" s="12">
        <f t="shared" si="32"/>
        <v>0</v>
      </c>
    </row>
    <row r="6" spans="1:35" x14ac:dyDescent="0.25">
      <c r="A6" s="9"/>
      <c r="B6" s="9"/>
      <c r="C6" s="10" t="str">
        <f t="shared" si="1"/>
        <v/>
      </c>
      <c r="D6" s="11">
        <f t="shared" si="2"/>
        <v>0</v>
      </c>
      <c r="E6" s="11">
        <f t="shared" si="3"/>
        <v>0</v>
      </c>
      <c r="F6" s="11">
        <f t="shared" si="4"/>
        <v>0</v>
      </c>
      <c r="G6" s="12">
        <f t="shared" si="5"/>
        <v>0</v>
      </c>
      <c r="H6" s="11">
        <f t="shared" si="6"/>
        <v>0</v>
      </c>
      <c r="I6" s="11">
        <f t="shared" si="7"/>
        <v>0</v>
      </c>
      <c r="J6" s="12">
        <f t="shared" si="8"/>
        <v>0</v>
      </c>
      <c r="K6" s="11">
        <f t="shared" si="9"/>
        <v>0</v>
      </c>
      <c r="L6" s="12">
        <f t="shared" si="10"/>
        <v>0</v>
      </c>
      <c r="M6" s="12">
        <f t="shared" si="11"/>
        <v>0</v>
      </c>
      <c r="N6" s="11">
        <f t="shared" si="12"/>
        <v>0</v>
      </c>
      <c r="O6" s="12">
        <f t="shared" si="13"/>
        <v>0</v>
      </c>
      <c r="P6" s="11">
        <f t="shared" si="14"/>
        <v>0</v>
      </c>
      <c r="Q6" s="12">
        <f t="shared" si="15"/>
        <v>0</v>
      </c>
      <c r="R6" s="11">
        <f t="shared" si="16"/>
        <v>0</v>
      </c>
      <c r="S6" s="12">
        <f t="shared" si="17"/>
        <v>0</v>
      </c>
      <c r="T6" s="12">
        <f t="shared" si="18"/>
        <v>0</v>
      </c>
      <c r="U6" s="12">
        <f t="shared" si="19"/>
        <v>0</v>
      </c>
      <c r="V6" s="11">
        <f t="shared" si="20"/>
        <v>0</v>
      </c>
      <c r="W6" s="11">
        <f t="shared" si="21"/>
        <v>0</v>
      </c>
      <c r="X6" s="11">
        <f t="shared" si="22"/>
        <v>0</v>
      </c>
      <c r="Y6" s="11">
        <f t="shared" si="23"/>
        <v>0</v>
      </c>
      <c r="Z6" s="12">
        <f t="shared" si="24"/>
        <v>0</v>
      </c>
      <c r="AA6" s="11">
        <f t="shared" si="25"/>
        <v>0</v>
      </c>
      <c r="AB6" s="11">
        <f t="shared" si="26"/>
        <v>0</v>
      </c>
      <c r="AC6" s="11">
        <f t="shared" si="27"/>
        <v>0</v>
      </c>
      <c r="AD6" s="11">
        <f t="shared" si="28"/>
        <v>0</v>
      </c>
      <c r="AE6" s="13">
        <f t="shared" si="29"/>
        <v>0</v>
      </c>
      <c r="AF6" s="13">
        <f t="shared" si="30"/>
        <v>0</v>
      </c>
      <c r="AG6" s="11">
        <f t="shared" si="31"/>
        <v>0</v>
      </c>
      <c r="AH6" s="14" t="str">
        <f t="shared" si="0"/>
        <v>InvalidSymbolDetails</v>
      </c>
      <c r="AI6" s="12">
        <f t="shared" si="32"/>
        <v>0</v>
      </c>
    </row>
    <row r="7" spans="1:35" x14ac:dyDescent="0.25">
      <c r="A7" s="9"/>
      <c r="B7" s="9"/>
      <c r="C7" s="10" t="str">
        <f t="shared" si="1"/>
        <v/>
      </c>
      <c r="D7" s="11">
        <f t="shared" si="2"/>
        <v>0</v>
      </c>
      <c r="E7" s="11">
        <f t="shared" si="3"/>
        <v>0</v>
      </c>
      <c r="F7" s="11">
        <f t="shared" si="4"/>
        <v>0</v>
      </c>
      <c r="G7" s="12">
        <f t="shared" si="5"/>
        <v>0</v>
      </c>
      <c r="H7" s="11">
        <f t="shared" si="6"/>
        <v>0</v>
      </c>
      <c r="I7" s="11">
        <f t="shared" si="7"/>
        <v>0</v>
      </c>
      <c r="J7" s="12">
        <f t="shared" si="8"/>
        <v>0</v>
      </c>
      <c r="K7" s="11">
        <f t="shared" si="9"/>
        <v>0</v>
      </c>
      <c r="L7" s="12">
        <f t="shared" si="10"/>
        <v>0</v>
      </c>
      <c r="M7" s="12">
        <f t="shared" si="11"/>
        <v>0</v>
      </c>
      <c r="N7" s="11">
        <f t="shared" si="12"/>
        <v>0</v>
      </c>
      <c r="O7" s="12">
        <f t="shared" si="13"/>
        <v>0</v>
      </c>
      <c r="P7" s="11">
        <f t="shared" si="14"/>
        <v>0</v>
      </c>
      <c r="Q7" s="12">
        <f t="shared" si="15"/>
        <v>0</v>
      </c>
      <c r="R7" s="11">
        <f t="shared" si="16"/>
        <v>0</v>
      </c>
      <c r="S7" s="12">
        <f t="shared" si="17"/>
        <v>0</v>
      </c>
      <c r="T7" s="12">
        <f t="shared" si="18"/>
        <v>0</v>
      </c>
      <c r="U7" s="12">
        <f t="shared" si="19"/>
        <v>0</v>
      </c>
      <c r="V7" s="11">
        <f t="shared" si="20"/>
        <v>0</v>
      </c>
      <c r="W7" s="11">
        <f t="shared" si="21"/>
        <v>0</v>
      </c>
      <c r="X7" s="11">
        <f t="shared" si="22"/>
        <v>0</v>
      </c>
      <c r="Y7" s="11">
        <f t="shared" si="23"/>
        <v>0</v>
      </c>
      <c r="Z7" s="12">
        <f t="shared" si="24"/>
        <v>0</v>
      </c>
      <c r="AA7" s="11">
        <f t="shared" si="25"/>
        <v>0</v>
      </c>
      <c r="AB7" s="11">
        <f t="shared" si="26"/>
        <v>0</v>
      </c>
      <c r="AC7" s="11">
        <f t="shared" si="27"/>
        <v>0</v>
      </c>
      <c r="AD7" s="11">
        <f t="shared" si="28"/>
        <v>0</v>
      </c>
      <c r="AE7" s="13">
        <f t="shared" si="29"/>
        <v>0</v>
      </c>
      <c r="AF7" s="13">
        <f t="shared" si="30"/>
        <v>0</v>
      </c>
      <c r="AG7" s="11">
        <f t="shared" si="31"/>
        <v>0</v>
      </c>
      <c r="AH7" s="14" t="str">
        <f t="shared" si="0"/>
        <v>InvalidSymbolDetails</v>
      </c>
      <c r="AI7" s="12">
        <f t="shared" si="32"/>
        <v>0</v>
      </c>
    </row>
    <row r="8" spans="1:35" x14ac:dyDescent="0.25">
      <c r="A8" s="9"/>
      <c r="B8" s="9"/>
      <c r="C8" s="10" t="str">
        <f t="shared" si="1"/>
        <v/>
      </c>
      <c r="D8" s="11">
        <f t="shared" si="2"/>
        <v>0</v>
      </c>
      <c r="E8" s="11">
        <f t="shared" si="3"/>
        <v>0</v>
      </c>
      <c r="F8" s="11">
        <f t="shared" si="4"/>
        <v>0</v>
      </c>
      <c r="G8" s="12">
        <f t="shared" si="5"/>
        <v>0</v>
      </c>
      <c r="H8" s="11">
        <f t="shared" si="6"/>
        <v>0</v>
      </c>
      <c r="I8" s="11">
        <f t="shared" si="7"/>
        <v>0</v>
      </c>
      <c r="J8" s="12">
        <f t="shared" si="8"/>
        <v>0</v>
      </c>
      <c r="K8" s="11">
        <f t="shared" si="9"/>
        <v>0</v>
      </c>
      <c r="L8" s="12">
        <f t="shared" si="10"/>
        <v>0</v>
      </c>
      <c r="M8" s="12">
        <f t="shared" si="11"/>
        <v>0</v>
      </c>
      <c r="N8" s="11">
        <f t="shared" si="12"/>
        <v>0</v>
      </c>
      <c r="O8" s="12">
        <f t="shared" si="13"/>
        <v>0</v>
      </c>
      <c r="P8" s="11">
        <f t="shared" si="14"/>
        <v>0</v>
      </c>
      <c r="Q8" s="12">
        <f t="shared" si="15"/>
        <v>0</v>
      </c>
      <c r="R8" s="11">
        <f t="shared" si="16"/>
        <v>0</v>
      </c>
      <c r="S8" s="12">
        <f t="shared" si="17"/>
        <v>0</v>
      </c>
      <c r="T8" s="12">
        <f t="shared" si="18"/>
        <v>0</v>
      </c>
      <c r="U8" s="12">
        <f t="shared" si="19"/>
        <v>0</v>
      </c>
      <c r="V8" s="11">
        <f t="shared" si="20"/>
        <v>0</v>
      </c>
      <c r="W8" s="11">
        <f t="shared" si="21"/>
        <v>0</v>
      </c>
      <c r="X8" s="11">
        <f t="shared" si="22"/>
        <v>0</v>
      </c>
      <c r="Y8" s="11">
        <f t="shared" si="23"/>
        <v>0</v>
      </c>
      <c r="Z8" s="12">
        <f t="shared" si="24"/>
        <v>0</v>
      </c>
      <c r="AA8" s="11">
        <f t="shared" si="25"/>
        <v>0</v>
      </c>
      <c r="AB8" s="11">
        <f t="shared" si="26"/>
        <v>0</v>
      </c>
      <c r="AC8" s="11">
        <f t="shared" si="27"/>
        <v>0</v>
      </c>
      <c r="AD8" s="11">
        <f t="shared" si="28"/>
        <v>0</v>
      </c>
      <c r="AE8" s="13">
        <f t="shared" si="29"/>
        <v>0</v>
      </c>
      <c r="AF8" s="13">
        <f t="shared" si="30"/>
        <v>0</v>
      </c>
      <c r="AG8" s="11">
        <f t="shared" si="31"/>
        <v>0</v>
      </c>
      <c r="AH8" s="14" t="str">
        <f t="shared" si="0"/>
        <v>InvalidSymbolDetails</v>
      </c>
      <c r="AI8" s="12">
        <f t="shared" si="32"/>
        <v>0</v>
      </c>
    </row>
    <row r="9" spans="1:35" x14ac:dyDescent="0.25">
      <c r="A9" s="9"/>
      <c r="B9" s="9"/>
      <c r="C9" s="10" t="str">
        <f t="shared" si="1"/>
        <v/>
      </c>
      <c r="D9" s="11">
        <f t="shared" si="2"/>
        <v>0</v>
      </c>
      <c r="E9" s="11">
        <f t="shared" si="3"/>
        <v>0</v>
      </c>
      <c r="F9" s="11">
        <f t="shared" si="4"/>
        <v>0</v>
      </c>
      <c r="G9" s="12">
        <f t="shared" si="5"/>
        <v>0</v>
      </c>
      <c r="H9" s="11">
        <f t="shared" si="6"/>
        <v>0</v>
      </c>
      <c r="I9" s="11">
        <f t="shared" si="7"/>
        <v>0</v>
      </c>
      <c r="J9" s="12">
        <f t="shared" si="8"/>
        <v>0</v>
      </c>
      <c r="K9" s="11">
        <f t="shared" si="9"/>
        <v>0</v>
      </c>
      <c r="L9" s="12">
        <f t="shared" si="10"/>
        <v>0</v>
      </c>
      <c r="M9" s="12">
        <f t="shared" si="11"/>
        <v>0</v>
      </c>
      <c r="N9" s="11">
        <f t="shared" si="12"/>
        <v>0</v>
      </c>
      <c r="O9" s="12">
        <f t="shared" si="13"/>
        <v>0</v>
      </c>
      <c r="P9" s="11">
        <f t="shared" si="14"/>
        <v>0</v>
      </c>
      <c r="Q9" s="12">
        <f t="shared" si="15"/>
        <v>0</v>
      </c>
      <c r="R9" s="11">
        <f t="shared" si="16"/>
        <v>0</v>
      </c>
      <c r="S9" s="12">
        <f t="shared" si="17"/>
        <v>0</v>
      </c>
      <c r="T9" s="12">
        <f t="shared" si="18"/>
        <v>0</v>
      </c>
      <c r="U9" s="12">
        <f t="shared" si="19"/>
        <v>0</v>
      </c>
      <c r="V9" s="11">
        <f t="shared" si="20"/>
        <v>0</v>
      </c>
      <c r="W9" s="11">
        <f t="shared" si="21"/>
        <v>0</v>
      </c>
      <c r="X9" s="11">
        <f t="shared" si="22"/>
        <v>0</v>
      </c>
      <c r="Y9" s="11">
        <f t="shared" si="23"/>
        <v>0</v>
      </c>
      <c r="Z9" s="12">
        <f t="shared" si="24"/>
        <v>0</v>
      </c>
      <c r="AA9" s="11">
        <f t="shared" si="25"/>
        <v>0</v>
      </c>
      <c r="AB9" s="11">
        <f t="shared" si="26"/>
        <v>0</v>
      </c>
      <c r="AC9" s="11">
        <f t="shared" si="27"/>
        <v>0</v>
      </c>
      <c r="AD9" s="11">
        <f t="shared" si="28"/>
        <v>0</v>
      </c>
      <c r="AE9" s="13">
        <f t="shared" si="29"/>
        <v>0</v>
      </c>
      <c r="AF9" s="13">
        <f t="shared" si="30"/>
        <v>0</v>
      </c>
      <c r="AG9" s="11">
        <f t="shared" si="31"/>
        <v>0</v>
      </c>
      <c r="AH9" s="14" t="str">
        <f t="shared" si="0"/>
        <v>InvalidSymbolDetails</v>
      </c>
      <c r="AI9" s="12">
        <f t="shared" si="32"/>
        <v>0</v>
      </c>
    </row>
    <row r="10" spans="1:35" x14ac:dyDescent="0.25">
      <c r="A10" s="9"/>
      <c r="B10" s="9"/>
      <c r="C10" s="10" t="str">
        <f t="shared" si="1"/>
        <v/>
      </c>
      <c r="D10" s="11">
        <f t="shared" si="2"/>
        <v>0</v>
      </c>
      <c r="E10" s="11">
        <f t="shared" si="3"/>
        <v>0</v>
      </c>
      <c r="F10" s="11">
        <f t="shared" si="4"/>
        <v>0</v>
      </c>
      <c r="G10" s="12">
        <f t="shared" si="5"/>
        <v>0</v>
      </c>
      <c r="H10" s="11">
        <f t="shared" si="6"/>
        <v>0</v>
      </c>
      <c r="I10" s="11">
        <f t="shared" si="7"/>
        <v>0</v>
      </c>
      <c r="J10" s="12">
        <f t="shared" si="8"/>
        <v>0</v>
      </c>
      <c r="K10" s="11">
        <f t="shared" si="9"/>
        <v>0</v>
      </c>
      <c r="L10" s="12">
        <f t="shared" si="10"/>
        <v>0</v>
      </c>
      <c r="M10" s="12">
        <f t="shared" si="11"/>
        <v>0</v>
      </c>
      <c r="N10" s="11">
        <f t="shared" si="12"/>
        <v>0</v>
      </c>
      <c r="O10" s="12">
        <f t="shared" si="13"/>
        <v>0</v>
      </c>
      <c r="P10" s="11">
        <f t="shared" si="14"/>
        <v>0</v>
      </c>
      <c r="Q10" s="12">
        <f t="shared" si="15"/>
        <v>0</v>
      </c>
      <c r="R10" s="11">
        <f t="shared" si="16"/>
        <v>0</v>
      </c>
      <c r="S10" s="12">
        <f t="shared" si="17"/>
        <v>0</v>
      </c>
      <c r="T10" s="12">
        <f t="shared" si="18"/>
        <v>0</v>
      </c>
      <c r="U10" s="12">
        <f t="shared" si="19"/>
        <v>0</v>
      </c>
      <c r="V10" s="11">
        <f t="shared" si="20"/>
        <v>0</v>
      </c>
      <c r="W10" s="11">
        <f t="shared" si="21"/>
        <v>0</v>
      </c>
      <c r="X10" s="11">
        <f t="shared" si="22"/>
        <v>0</v>
      </c>
      <c r="Y10" s="11">
        <f t="shared" si="23"/>
        <v>0</v>
      </c>
      <c r="Z10" s="12">
        <f t="shared" si="24"/>
        <v>0</v>
      </c>
      <c r="AA10" s="11">
        <f t="shared" si="25"/>
        <v>0</v>
      </c>
      <c r="AB10" s="11">
        <f t="shared" si="26"/>
        <v>0</v>
      </c>
      <c r="AC10" s="11">
        <f t="shared" si="27"/>
        <v>0</v>
      </c>
      <c r="AD10" s="11">
        <f t="shared" si="28"/>
        <v>0</v>
      </c>
      <c r="AE10" s="13">
        <f t="shared" si="29"/>
        <v>0</v>
      </c>
      <c r="AF10" s="13">
        <f t="shared" si="30"/>
        <v>0</v>
      </c>
      <c r="AG10" s="11">
        <f t="shared" si="31"/>
        <v>0</v>
      </c>
      <c r="AH10" s="14" t="str">
        <f t="shared" si="0"/>
        <v>InvalidSymbolDetails</v>
      </c>
      <c r="AI10" s="12">
        <f t="shared" si="32"/>
        <v>0</v>
      </c>
    </row>
    <row r="11" spans="1:35" x14ac:dyDescent="0.25">
      <c r="A11" s="9"/>
      <c r="B11" s="9"/>
      <c r="C11" s="10" t="str">
        <f t="shared" si="1"/>
        <v/>
      </c>
      <c r="D11" s="11">
        <f t="shared" si="2"/>
        <v>0</v>
      </c>
      <c r="E11" s="11">
        <f t="shared" si="3"/>
        <v>0</v>
      </c>
      <c r="F11" s="11">
        <f t="shared" si="4"/>
        <v>0</v>
      </c>
      <c r="G11" s="12">
        <f t="shared" si="5"/>
        <v>0</v>
      </c>
      <c r="H11" s="11">
        <f t="shared" si="6"/>
        <v>0</v>
      </c>
      <c r="I11" s="11">
        <f t="shared" si="7"/>
        <v>0</v>
      </c>
      <c r="J11" s="12">
        <f t="shared" si="8"/>
        <v>0</v>
      </c>
      <c r="K11" s="11">
        <f t="shared" si="9"/>
        <v>0</v>
      </c>
      <c r="L11" s="12">
        <f t="shared" si="10"/>
        <v>0</v>
      </c>
      <c r="M11" s="12">
        <f t="shared" si="11"/>
        <v>0</v>
      </c>
      <c r="N11" s="11">
        <f t="shared" si="12"/>
        <v>0</v>
      </c>
      <c r="O11" s="12">
        <f t="shared" si="13"/>
        <v>0</v>
      </c>
      <c r="P11" s="11">
        <f t="shared" si="14"/>
        <v>0</v>
      </c>
      <c r="Q11" s="12">
        <f t="shared" si="15"/>
        <v>0</v>
      </c>
      <c r="R11" s="11">
        <f t="shared" si="16"/>
        <v>0</v>
      </c>
      <c r="S11" s="12">
        <f t="shared" si="17"/>
        <v>0</v>
      </c>
      <c r="T11" s="12">
        <f t="shared" si="18"/>
        <v>0</v>
      </c>
      <c r="U11" s="12">
        <f t="shared" si="19"/>
        <v>0</v>
      </c>
      <c r="V11" s="11">
        <f t="shared" si="20"/>
        <v>0</v>
      </c>
      <c r="W11" s="11">
        <f t="shared" si="21"/>
        <v>0</v>
      </c>
      <c r="X11" s="11">
        <f t="shared" si="22"/>
        <v>0</v>
      </c>
      <c r="Y11" s="11">
        <f t="shared" si="23"/>
        <v>0</v>
      </c>
      <c r="Z11" s="12">
        <f t="shared" si="24"/>
        <v>0</v>
      </c>
      <c r="AA11" s="11">
        <f t="shared" si="25"/>
        <v>0</v>
      </c>
      <c r="AB11" s="11">
        <f t="shared" si="26"/>
        <v>0</v>
      </c>
      <c r="AC11" s="11">
        <f t="shared" si="27"/>
        <v>0</v>
      </c>
      <c r="AD11" s="11">
        <f t="shared" si="28"/>
        <v>0</v>
      </c>
      <c r="AE11" s="13">
        <f t="shared" si="29"/>
        <v>0</v>
      </c>
      <c r="AF11" s="13">
        <f t="shared" si="30"/>
        <v>0</v>
      </c>
      <c r="AG11" s="11">
        <f t="shared" si="31"/>
        <v>0</v>
      </c>
      <c r="AH11" s="14" t="str">
        <f t="shared" si="0"/>
        <v>InvalidSymbolDetails</v>
      </c>
      <c r="AI11" s="12">
        <f t="shared" si="32"/>
        <v>0</v>
      </c>
    </row>
    <row r="12" spans="1:35" x14ac:dyDescent="0.25">
      <c r="A12" s="9"/>
      <c r="B12" s="9"/>
      <c r="C12" s="10" t="str">
        <f t="shared" si="1"/>
        <v/>
      </c>
      <c r="D12" s="11">
        <f t="shared" si="2"/>
        <v>0</v>
      </c>
      <c r="E12" s="11">
        <f t="shared" si="3"/>
        <v>0</v>
      </c>
      <c r="F12" s="11">
        <f t="shared" si="4"/>
        <v>0</v>
      </c>
      <c r="G12" s="12">
        <f t="shared" si="5"/>
        <v>0</v>
      </c>
      <c r="H12" s="11">
        <f t="shared" si="6"/>
        <v>0</v>
      </c>
      <c r="I12" s="11">
        <f t="shared" si="7"/>
        <v>0</v>
      </c>
      <c r="J12" s="12">
        <f t="shared" si="8"/>
        <v>0</v>
      </c>
      <c r="K12" s="11">
        <f t="shared" si="9"/>
        <v>0</v>
      </c>
      <c r="L12" s="12">
        <f t="shared" si="10"/>
        <v>0</v>
      </c>
      <c r="M12" s="12">
        <f t="shared" si="11"/>
        <v>0</v>
      </c>
      <c r="N12" s="11">
        <f t="shared" si="12"/>
        <v>0</v>
      </c>
      <c r="O12" s="12">
        <f t="shared" si="13"/>
        <v>0</v>
      </c>
      <c r="P12" s="11">
        <f t="shared" si="14"/>
        <v>0</v>
      </c>
      <c r="Q12" s="12">
        <f t="shared" si="15"/>
        <v>0</v>
      </c>
      <c r="R12" s="11">
        <f t="shared" si="16"/>
        <v>0</v>
      </c>
      <c r="S12" s="12">
        <f t="shared" si="17"/>
        <v>0</v>
      </c>
      <c r="T12" s="12">
        <f t="shared" si="18"/>
        <v>0</v>
      </c>
      <c r="U12" s="12">
        <f t="shared" si="19"/>
        <v>0</v>
      </c>
      <c r="V12" s="11">
        <f t="shared" si="20"/>
        <v>0</v>
      </c>
      <c r="W12" s="11">
        <f t="shared" si="21"/>
        <v>0</v>
      </c>
      <c r="X12" s="11">
        <f t="shared" si="22"/>
        <v>0</v>
      </c>
      <c r="Y12" s="11">
        <f t="shared" si="23"/>
        <v>0</v>
      </c>
      <c r="Z12" s="12">
        <f t="shared" si="24"/>
        <v>0</v>
      </c>
      <c r="AA12" s="11">
        <f t="shared" si="25"/>
        <v>0</v>
      </c>
      <c r="AB12" s="11">
        <f t="shared" si="26"/>
        <v>0</v>
      </c>
      <c r="AC12" s="11">
        <f t="shared" si="27"/>
        <v>0</v>
      </c>
      <c r="AD12" s="11">
        <f t="shared" si="28"/>
        <v>0</v>
      </c>
      <c r="AE12" s="13">
        <f t="shared" si="29"/>
        <v>0</v>
      </c>
      <c r="AF12" s="13">
        <f t="shared" si="30"/>
        <v>0</v>
      </c>
      <c r="AG12" s="11">
        <f t="shared" si="31"/>
        <v>0</v>
      </c>
      <c r="AH12" s="14" t="str">
        <f t="shared" si="0"/>
        <v>InvalidSymbolDetails</v>
      </c>
      <c r="AI12" s="12">
        <f t="shared" si="32"/>
        <v>0</v>
      </c>
    </row>
    <row r="13" spans="1:35" x14ac:dyDescent="0.25">
      <c r="A13" s="9"/>
      <c r="B13" s="9"/>
      <c r="C13" s="10" t="str">
        <f t="shared" si="1"/>
        <v/>
      </c>
      <c r="D13" s="11">
        <f t="shared" si="2"/>
        <v>0</v>
      </c>
      <c r="E13" s="11">
        <f t="shared" si="3"/>
        <v>0</v>
      </c>
      <c r="F13" s="11">
        <f t="shared" si="4"/>
        <v>0</v>
      </c>
      <c r="G13" s="12">
        <f t="shared" si="5"/>
        <v>0</v>
      </c>
      <c r="H13" s="11">
        <f t="shared" si="6"/>
        <v>0</v>
      </c>
      <c r="I13" s="11">
        <f t="shared" si="7"/>
        <v>0</v>
      </c>
      <c r="J13" s="12">
        <f t="shared" si="8"/>
        <v>0</v>
      </c>
      <c r="K13" s="11">
        <f t="shared" si="9"/>
        <v>0</v>
      </c>
      <c r="L13" s="12">
        <f t="shared" si="10"/>
        <v>0</v>
      </c>
      <c r="M13" s="12">
        <f t="shared" si="11"/>
        <v>0</v>
      </c>
      <c r="N13" s="11">
        <f t="shared" si="12"/>
        <v>0</v>
      </c>
      <c r="O13" s="12">
        <f t="shared" si="13"/>
        <v>0</v>
      </c>
      <c r="P13" s="11">
        <f t="shared" si="14"/>
        <v>0</v>
      </c>
      <c r="Q13" s="12">
        <f t="shared" si="15"/>
        <v>0</v>
      </c>
      <c r="R13" s="11">
        <f t="shared" si="16"/>
        <v>0</v>
      </c>
      <c r="S13" s="12">
        <f t="shared" si="17"/>
        <v>0</v>
      </c>
      <c r="T13" s="12">
        <f t="shared" si="18"/>
        <v>0</v>
      </c>
      <c r="U13" s="12">
        <f t="shared" si="19"/>
        <v>0</v>
      </c>
      <c r="V13" s="11">
        <f t="shared" si="20"/>
        <v>0</v>
      </c>
      <c r="W13" s="11">
        <f t="shared" si="21"/>
        <v>0</v>
      </c>
      <c r="X13" s="11">
        <f t="shared" si="22"/>
        <v>0</v>
      </c>
      <c r="Y13" s="11">
        <f t="shared" si="23"/>
        <v>0</v>
      </c>
      <c r="Z13" s="12">
        <f t="shared" si="24"/>
        <v>0</v>
      </c>
      <c r="AA13" s="11">
        <f t="shared" si="25"/>
        <v>0</v>
      </c>
      <c r="AB13" s="11">
        <f t="shared" si="26"/>
        <v>0</v>
      </c>
      <c r="AC13" s="11">
        <f t="shared" si="27"/>
        <v>0</v>
      </c>
      <c r="AD13" s="11">
        <f t="shared" si="28"/>
        <v>0</v>
      </c>
      <c r="AE13" s="13">
        <f t="shared" si="29"/>
        <v>0</v>
      </c>
      <c r="AF13" s="13">
        <f t="shared" si="30"/>
        <v>0</v>
      </c>
      <c r="AG13" s="11">
        <f t="shared" si="31"/>
        <v>0</v>
      </c>
      <c r="AH13" s="14" t="str">
        <f t="shared" si="0"/>
        <v>InvalidSymbolDetails</v>
      </c>
      <c r="AI13" s="12">
        <f t="shared" si="32"/>
        <v>0</v>
      </c>
    </row>
    <row r="14" spans="1:35" x14ac:dyDescent="0.25">
      <c r="A14" s="9"/>
      <c r="B14" s="9"/>
      <c r="C14" s="10" t="str">
        <f t="shared" si="1"/>
        <v/>
      </c>
      <c r="D14" s="11">
        <f t="shared" si="2"/>
        <v>0</v>
      </c>
      <c r="E14" s="11">
        <f t="shared" si="3"/>
        <v>0</v>
      </c>
      <c r="F14" s="11">
        <f t="shared" si="4"/>
        <v>0</v>
      </c>
      <c r="G14" s="12">
        <f t="shared" si="5"/>
        <v>0</v>
      </c>
      <c r="H14" s="11">
        <f t="shared" si="6"/>
        <v>0</v>
      </c>
      <c r="I14" s="11">
        <f t="shared" si="7"/>
        <v>0</v>
      </c>
      <c r="J14" s="12">
        <f t="shared" si="8"/>
        <v>0</v>
      </c>
      <c r="K14" s="11">
        <f t="shared" si="9"/>
        <v>0</v>
      </c>
      <c r="L14" s="12">
        <f t="shared" si="10"/>
        <v>0</v>
      </c>
      <c r="M14" s="12">
        <f t="shared" si="11"/>
        <v>0</v>
      </c>
      <c r="N14" s="11">
        <f t="shared" si="12"/>
        <v>0</v>
      </c>
      <c r="O14" s="12">
        <f t="shared" si="13"/>
        <v>0</v>
      </c>
      <c r="P14" s="11">
        <f t="shared" si="14"/>
        <v>0</v>
      </c>
      <c r="Q14" s="12">
        <f t="shared" si="15"/>
        <v>0</v>
      </c>
      <c r="R14" s="11">
        <f t="shared" si="16"/>
        <v>0</v>
      </c>
      <c r="S14" s="12">
        <f t="shared" si="17"/>
        <v>0</v>
      </c>
      <c r="T14" s="12">
        <f t="shared" si="18"/>
        <v>0</v>
      </c>
      <c r="U14" s="12">
        <f t="shared" si="19"/>
        <v>0</v>
      </c>
      <c r="V14" s="11">
        <f t="shared" si="20"/>
        <v>0</v>
      </c>
      <c r="W14" s="11">
        <f t="shared" si="21"/>
        <v>0</v>
      </c>
      <c r="X14" s="11">
        <f t="shared" si="22"/>
        <v>0</v>
      </c>
      <c r="Y14" s="11">
        <f t="shared" si="23"/>
        <v>0</v>
      </c>
      <c r="Z14" s="12">
        <f t="shared" si="24"/>
        <v>0</v>
      </c>
      <c r="AA14" s="11">
        <f t="shared" si="25"/>
        <v>0</v>
      </c>
      <c r="AB14" s="11">
        <f t="shared" si="26"/>
        <v>0</v>
      </c>
      <c r="AC14" s="11">
        <f t="shared" si="27"/>
        <v>0</v>
      </c>
      <c r="AD14" s="11">
        <f t="shared" si="28"/>
        <v>0</v>
      </c>
      <c r="AE14" s="13">
        <f t="shared" si="29"/>
        <v>0</v>
      </c>
      <c r="AF14" s="13">
        <f t="shared" si="30"/>
        <v>0</v>
      </c>
      <c r="AG14" s="11">
        <f t="shared" si="31"/>
        <v>0</v>
      </c>
      <c r="AH14" s="14" t="str">
        <f t="shared" si="0"/>
        <v>InvalidSymbolDetails</v>
      </c>
      <c r="AI14" s="12">
        <f t="shared" si="32"/>
        <v>0</v>
      </c>
    </row>
    <row r="15" spans="1:35" x14ac:dyDescent="0.25">
      <c r="A15" s="9"/>
      <c r="B15" s="9"/>
      <c r="C15" s="10" t="str">
        <f t="shared" si="1"/>
        <v/>
      </c>
      <c r="D15" s="11">
        <f t="shared" si="2"/>
        <v>0</v>
      </c>
      <c r="E15" s="11">
        <f t="shared" si="3"/>
        <v>0</v>
      </c>
      <c r="F15" s="11">
        <f t="shared" si="4"/>
        <v>0</v>
      </c>
      <c r="G15" s="12">
        <f t="shared" si="5"/>
        <v>0</v>
      </c>
      <c r="H15" s="11">
        <f t="shared" si="6"/>
        <v>0</v>
      </c>
      <c r="I15" s="11">
        <f t="shared" si="7"/>
        <v>0</v>
      </c>
      <c r="J15" s="12">
        <f t="shared" si="8"/>
        <v>0</v>
      </c>
      <c r="K15" s="11">
        <f t="shared" si="9"/>
        <v>0</v>
      </c>
      <c r="L15" s="12">
        <f t="shared" si="10"/>
        <v>0</v>
      </c>
      <c r="M15" s="12">
        <f t="shared" si="11"/>
        <v>0</v>
      </c>
      <c r="N15" s="11">
        <f t="shared" si="12"/>
        <v>0</v>
      </c>
      <c r="O15" s="12">
        <f t="shared" si="13"/>
        <v>0</v>
      </c>
      <c r="P15" s="11">
        <f t="shared" si="14"/>
        <v>0</v>
      </c>
      <c r="Q15" s="12">
        <f t="shared" si="15"/>
        <v>0</v>
      </c>
      <c r="R15" s="11">
        <f t="shared" si="16"/>
        <v>0</v>
      </c>
      <c r="S15" s="12">
        <f t="shared" si="17"/>
        <v>0</v>
      </c>
      <c r="T15" s="12">
        <f t="shared" si="18"/>
        <v>0</v>
      </c>
      <c r="U15" s="12">
        <f t="shared" si="19"/>
        <v>0</v>
      </c>
      <c r="V15" s="11">
        <f t="shared" si="20"/>
        <v>0</v>
      </c>
      <c r="W15" s="11">
        <f t="shared" si="21"/>
        <v>0</v>
      </c>
      <c r="X15" s="11">
        <f t="shared" si="22"/>
        <v>0</v>
      </c>
      <c r="Y15" s="11">
        <f t="shared" si="23"/>
        <v>0</v>
      </c>
      <c r="Z15" s="12">
        <f t="shared" si="24"/>
        <v>0</v>
      </c>
      <c r="AA15" s="11">
        <f t="shared" si="25"/>
        <v>0</v>
      </c>
      <c r="AB15" s="11">
        <f t="shared" si="26"/>
        <v>0</v>
      </c>
      <c r="AC15" s="11">
        <f t="shared" si="27"/>
        <v>0</v>
      </c>
      <c r="AD15" s="11">
        <f t="shared" si="28"/>
        <v>0</v>
      </c>
      <c r="AE15" s="13">
        <f t="shared" si="29"/>
        <v>0</v>
      </c>
      <c r="AF15" s="13">
        <f t="shared" si="30"/>
        <v>0</v>
      </c>
      <c r="AG15" s="11">
        <f t="shared" si="31"/>
        <v>0</v>
      </c>
      <c r="AH15" s="14" t="str">
        <f t="shared" si="0"/>
        <v>InvalidSymbolDetails</v>
      </c>
      <c r="AI15" s="12">
        <f t="shared" si="32"/>
        <v>0</v>
      </c>
    </row>
    <row r="16" spans="1:35" x14ac:dyDescent="0.25">
      <c r="A16" s="9"/>
      <c r="B16" s="9"/>
      <c r="C16" s="10" t="str">
        <f t="shared" si="1"/>
        <v/>
      </c>
      <c r="D16" s="11">
        <f t="shared" si="2"/>
        <v>0</v>
      </c>
      <c r="E16" s="11">
        <f t="shared" si="3"/>
        <v>0</v>
      </c>
      <c r="F16" s="11">
        <f t="shared" si="4"/>
        <v>0</v>
      </c>
      <c r="G16" s="12">
        <f t="shared" si="5"/>
        <v>0</v>
      </c>
      <c r="H16" s="11">
        <f t="shared" si="6"/>
        <v>0</v>
      </c>
      <c r="I16" s="11">
        <f t="shared" si="7"/>
        <v>0</v>
      </c>
      <c r="J16" s="12">
        <f t="shared" si="8"/>
        <v>0</v>
      </c>
      <c r="K16" s="11">
        <f t="shared" si="9"/>
        <v>0</v>
      </c>
      <c r="L16" s="12">
        <f t="shared" si="10"/>
        <v>0</v>
      </c>
      <c r="M16" s="12">
        <f t="shared" si="11"/>
        <v>0</v>
      </c>
      <c r="N16" s="11">
        <f t="shared" si="12"/>
        <v>0</v>
      </c>
      <c r="O16" s="12">
        <f t="shared" si="13"/>
        <v>0</v>
      </c>
      <c r="P16" s="11">
        <f t="shared" si="14"/>
        <v>0</v>
      </c>
      <c r="Q16" s="12">
        <f t="shared" si="15"/>
        <v>0</v>
      </c>
      <c r="R16" s="11">
        <f t="shared" si="16"/>
        <v>0</v>
      </c>
      <c r="S16" s="12">
        <f t="shared" si="17"/>
        <v>0</v>
      </c>
      <c r="T16" s="12">
        <f t="shared" si="18"/>
        <v>0</v>
      </c>
      <c r="U16" s="12">
        <f t="shared" si="19"/>
        <v>0</v>
      </c>
      <c r="V16" s="11">
        <f t="shared" si="20"/>
        <v>0</v>
      </c>
      <c r="W16" s="11">
        <f t="shared" si="21"/>
        <v>0</v>
      </c>
      <c r="X16" s="11">
        <f t="shared" si="22"/>
        <v>0</v>
      </c>
      <c r="Y16" s="11">
        <f t="shared" si="23"/>
        <v>0</v>
      </c>
      <c r="Z16" s="12">
        <f t="shared" si="24"/>
        <v>0</v>
      </c>
      <c r="AA16" s="11">
        <f t="shared" si="25"/>
        <v>0</v>
      </c>
      <c r="AB16" s="11">
        <f t="shared" si="26"/>
        <v>0</v>
      </c>
      <c r="AC16" s="11">
        <f t="shared" si="27"/>
        <v>0</v>
      </c>
      <c r="AD16" s="11">
        <f t="shared" si="28"/>
        <v>0</v>
      </c>
      <c r="AE16" s="13">
        <f t="shared" si="29"/>
        <v>0</v>
      </c>
      <c r="AF16" s="13">
        <f t="shared" si="30"/>
        <v>0</v>
      </c>
      <c r="AG16" s="11">
        <f t="shared" si="31"/>
        <v>0</v>
      </c>
      <c r="AH16" s="14" t="str">
        <f t="shared" si="0"/>
        <v>InvalidSymbolDetails</v>
      </c>
      <c r="AI16" s="12">
        <f t="shared" si="32"/>
        <v>0</v>
      </c>
    </row>
    <row r="17" spans="1:35" x14ac:dyDescent="0.25">
      <c r="A17" s="9"/>
      <c r="B17" s="9"/>
      <c r="C17" s="10" t="str">
        <f t="shared" si="1"/>
        <v/>
      </c>
      <c r="D17" s="11">
        <f t="shared" si="2"/>
        <v>0</v>
      </c>
      <c r="E17" s="11">
        <f t="shared" si="3"/>
        <v>0</v>
      </c>
      <c r="F17" s="11">
        <f t="shared" si="4"/>
        <v>0</v>
      </c>
      <c r="G17" s="12">
        <f t="shared" si="5"/>
        <v>0</v>
      </c>
      <c r="H17" s="11">
        <f t="shared" si="6"/>
        <v>0</v>
      </c>
      <c r="I17" s="11">
        <f t="shared" si="7"/>
        <v>0</v>
      </c>
      <c r="J17" s="12">
        <f t="shared" si="8"/>
        <v>0</v>
      </c>
      <c r="K17" s="11">
        <f t="shared" si="9"/>
        <v>0</v>
      </c>
      <c r="L17" s="12">
        <f t="shared" si="10"/>
        <v>0</v>
      </c>
      <c r="M17" s="12">
        <f t="shared" si="11"/>
        <v>0</v>
      </c>
      <c r="N17" s="11">
        <f t="shared" si="12"/>
        <v>0</v>
      </c>
      <c r="O17" s="12">
        <f t="shared" si="13"/>
        <v>0</v>
      </c>
      <c r="P17" s="11">
        <f t="shared" si="14"/>
        <v>0</v>
      </c>
      <c r="Q17" s="12">
        <f t="shared" si="15"/>
        <v>0</v>
      </c>
      <c r="R17" s="11">
        <f t="shared" si="16"/>
        <v>0</v>
      </c>
      <c r="S17" s="12">
        <f t="shared" si="17"/>
        <v>0</v>
      </c>
      <c r="T17" s="12">
        <f t="shared" si="18"/>
        <v>0</v>
      </c>
      <c r="U17" s="12">
        <f t="shared" si="19"/>
        <v>0</v>
      </c>
      <c r="V17" s="11">
        <f t="shared" si="20"/>
        <v>0</v>
      </c>
      <c r="W17" s="11">
        <f t="shared" si="21"/>
        <v>0</v>
      </c>
      <c r="X17" s="11">
        <f t="shared" si="22"/>
        <v>0</v>
      </c>
      <c r="Y17" s="11">
        <f t="shared" si="23"/>
        <v>0</v>
      </c>
      <c r="Z17" s="12">
        <f t="shared" si="24"/>
        <v>0</v>
      </c>
      <c r="AA17" s="11">
        <f t="shared" si="25"/>
        <v>0</v>
      </c>
      <c r="AB17" s="11">
        <f t="shared" si="26"/>
        <v>0</v>
      </c>
      <c r="AC17" s="11">
        <f t="shared" si="27"/>
        <v>0</v>
      </c>
      <c r="AD17" s="11">
        <f t="shared" si="28"/>
        <v>0</v>
      </c>
      <c r="AE17" s="13">
        <f t="shared" si="29"/>
        <v>0</v>
      </c>
      <c r="AF17" s="13">
        <f t="shared" si="30"/>
        <v>0</v>
      </c>
      <c r="AG17" s="11">
        <f t="shared" si="31"/>
        <v>0</v>
      </c>
      <c r="AH17" s="14" t="str">
        <f t="shared" si="0"/>
        <v>InvalidSymbolDetails</v>
      </c>
      <c r="AI17" s="12">
        <f t="shared" si="32"/>
        <v>0</v>
      </c>
    </row>
    <row r="18" spans="1:35" x14ac:dyDescent="0.25">
      <c r="A18" s="9"/>
      <c r="B18" s="9"/>
      <c r="C18" s="10" t="str">
        <f t="shared" si="1"/>
        <v/>
      </c>
      <c r="D18" s="11">
        <f t="shared" si="2"/>
        <v>0</v>
      </c>
      <c r="E18" s="11">
        <f t="shared" si="3"/>
        <v>0</v>
      </c>
      <c r="F18" s="11">
        <f t="shared" si="4"/>
        <v>0</v>
      </c>
      <c r="G18" s="12">
        <f t="shared" si="5"/>
        <v>0</v>
      </c>
      <c r="H18" s="11">
        <f t="shared" si="6"/>
        <v>0</v>
      </c>
      <c r="I18" s="11">
        <f t="shared" si="7"/>
        <v>0</v>
      </c>
      <c r="J18" s="12">
        <f t="shared" si="8"/>
        <v>0</v>
      </c>
      <c r="K18" s="11">
        <f t="shared" si="9"/>
        <v>0</v>
      </c>
      <c r="L18" s="12">
        <f t="shared" si="10"/>
        <v>0</v>
      </c>
      <c r="M18" s="12">
        <f t="shared" si="11"/>
        <v>0</v>
      </c>
      <c r="N18" s="11">
        <f t="shared" si="12"/>
        <v>0</v>
      </c>
      <c r="O18" s="12">
        <f t="shared" si="13"/>
        <v>0</v>
      </c>
      <c r="P18" s="11">
        <f t="shared" si="14"/>
        <v>0</v>
      </c>
      <c r="Q18" s="12">
        <f t="shared" si="15"/>
        <v>0</v>
      </c>
      <c r="R18" s="11">
        <f t="shared" si="16"/>
        <v>0</v>
      </c>
      <c r="S18" s="12">
        <f t="shared" si="17"/>
        <v>0</v>
      </c>
      <c r="T18" s="12">
        <f t="shared" si="18"/>
        <v>0</v>
      </c>
      <c r="U18" s="12">
        <f t="shared" si="19"/>
        <v>0</v>
      </c>
      <c r="V18" s="11">
        <f t="shared" si="20"/>
        <v>0</v>
      </c>
      <c r="W18" s="11">
        <f t="shared" si="21"/>
        <v>0</v>
      </c>
      <c r="X18" s="11">
        <f t="shared" si="22"/>
        <v>0</v>
      </c>
      <c r="Y18" s="11">
        <f t="shared" si="23"/>
        <v>0</v>
      </c>
      <c r="Z18" s="12">
        <f t="shared" si="24"/>
        <v>0</v>
      </c>
      <c r="AA18" s="11">
        <f t="shared" si="25"/>
        <v>0</v>
      </c>
      <c r="AB18" s="11">
        <f t="shared" si="26"/>
        <v>0</v>
      </c>
      <c r="AC18" s="11">
        <f t="shared" si="27"/>
        <v>0</v>
      </c>
      <c r="AD18" s="11">
        <f t="shared" si="28"/>
        <v>0</v>
      </c>
      <c r="AE18" s="13">
        <f t="shared" si="29"/>
        <v>0</v>
      </c>
      <c r="AF18" s="13">
        <f t="shared" si="30"/>
        <v>0</v>
      </c>
      <c r="AG18" s="11">
        <f t="shared" si="31"/>
        <v>0</v>
      </c>
      <c r="AH18" s="14" t="str">
        <f t="shared" si="0"/>
        <v>InvalidSymbolDetails</v>
      </c>
      <c r="AI18" s="12">
        <f t="shared" si="32"/>
        <v>0</v>
      </c>
    </row>
    <row r="19" spans="1:35" x14ac:dyDescent="0.25">
      <c r="A19" s="9"/>
      <c r="B19" s="9"/>
      <c r="C19" s="10" t="str">
        <f t="shared" si="1"/>
        <v/>
      </c>
      <c r="D19" s="11">
        <f t="shared" si="2"/>
        <v>0</v>
      </c>
      <c r="E19" s="11">
        <f t="shared" si="3"/>
        <v>0</v>
      </c>
      <c r="F19" s="11">
        <f t="shared" si="4"/>
        <v>0</v>
      </c>
      <c r="G19" s="12">
        <f t="shared" si="5"/>
        <v>0</v>
      </c>
      <c r="H19" s="11">
        <f t="shared" si="6"/>
        <v>0</v>
      </c>
      <c r="I19" s="11">
        <f t="shared" si="7"/>
        <v>0</v>
      </c>
      <c r="J19" s="12">
        <f t="shared" si="8"/>
        <v>0</v>
      </c>
      <c r="K19" s="11">
        <f t="shared" si="9"/>
        <v>0</v>
      </c>
      <c r="L19" s="12">
        <f t="shared" si="10"/>
        <v>0</v>
      </c>
      <c r="M19" s="12">
        <f t="shared" si="11"/>
        <v>0</v>
      </c>
      <c r="N19" s="11">
        <f t="shared" si="12"/>
        <v>0</v>
      </c>
      <c r="O19" s="12">
        <f t="shared" si="13"/>
        <v>0</v>
      </c>
      <c r="P19" s="11">
        <f t="shared" si="14"/>
        <v>0</v>
      </c>
      <c r="Q19" s="12">
        <f t="shared" si="15"/>
        <v>0</v>
      </c>
      <c r="R19" s="11">
        <f t="shared" si="16"/>
        <v>0</v>
      </c>
      <c r="S19" s="12">
        <f t="shared" si="17"/>
        <v>0</v>
      </c>
      <c r="T19" s="12">
        <f t="shared" si="18"/>
        <v>0</v>
      </c>
      <c r="U19" s="12">
        <f t="shared" si="19"/>
        <v>0</v>
      </c>
      <c r="V19" s="11">
        <f t="shared" si="20"/>
        <v>0</v>
      </c>
      <c r="W19" s="11">
        <f t="shared" si="21"/>
        <v>0</v>
      </c>
      <c r="X19" s="11">
        <f t="shared" si="22"/>
        <v>0</v>
      </c>
      <c r="Y19" s="11">
        <f t="shared" si="23"/>
        <v>0</v>
      </c>
      <c r="Z19" s="12">
        <f t="shared" si="24"/>
        <v>0</v>
      </c>
      <c r="AA19" s="11">
        <f t="shared" si="25"/>
        <v>0</v>
      </c>
      <c r="AB19" s="11">
        <f t="shared" si="26"/>
        <v>0</v>
      </c>
      <c r="AC19" s="11">
        <f t="shared" si="27"/>
        <v>0</v>
      </c>
      <c r="AD19" s="11">
        <f t="shared" si="28"/>
        <v>0</v>
      </c>
      <c r="AE19" s="13">
        <f t="shared" si="29"/>
        <v>0</v>
      </c>
      <c r="AF19" s="13">
        <f t="shared" si="30"/>
        <v>0</v>
      </c>
      <c r="AG19" s="11">
        <f t="shared" si="31"/>
        <v>0</v>
      </c>
      <c r="AH19" s="14" t="str">
        <f t="shared" si="0"/>
        <v>InvalidSymbolDetails</v>
      </c>
      <c r="AI19" s="12">
        <f t="shared" si="32"/>
        <v>0</v>
      </c>
    </row>
    <row r="20" spans="1:35" x14ac:dyDescent="0.25">
      <c r="A20" s="9"/>
      <c r="B20" s="9"/>
      <c r="C20" s="10" t="str">
        <f t="shared" si="1"/>
        <v/>
      </c>
      <c r="D20" s="11">
        <f t="shared" si="2"/>
        <v>0</v>
      </c>
      <c r="E20" s="11">
        <f t="shared" si="3"/>
        <v>0</v>
      </c>
      <c r="F20" s="11">
        <f t="shared" si="4"/>
        <v>0</v>
      </c>
      <c r="G20" s="12">
        <f t="shared" si="5"/>
        <v>0</v>
      </c>
      <c r="H20" s="11">
        <f t="shared" si="6"/>
        <v>0</v>
      </c>
      <c r="I20" s="11">
        <f t="shared" si="7"/>
        <v>0</v>
      </c>
      <c r="J20" s="12">
        <f t="shared" si="8"/>
        <v>0</v>
      </c>
      <c r="K20" s="11">
        <f t="shared" si="9"/>
        <v>0</v>
      </c>
      <c r="L20" s="12">
        <f t="shared" si="10"/>
        <v>0</v>
      </c>
      <c r="M20" s="12">
        <f t="shared" si="11"/>
        <v>0</v>
      </c>
      <c r="N20" s="11">
        <f t="shared" si="12"/>
        <v>0</v>
      </c>
      <c r="O20" s="12">
        <f t="shared" si="13"/>
        <v>0</v>
      </c>
      <c r="P20" s="11">
        <f t="shared" si="14"/>
        <v>0</v>
      </c>
      <c r="Q20" s="12">
        <f t="shared" si="15"/>
        <v>0</v>
      </c>
      <c r="R20" s="11">
        <f t="shared" si="16"/>
        <v>0</v>
      </c>
      <c r="S20" s="12">
        <f t="shared" si="17"/>
        <v>0</v>
      </c>
      <c r="T20" s="12">
        <f t="shared" si="18"/>
        <v>0</v>
      </c>
      <c r="U20" s="12">
        <f t="shared" si="19"/>
        <v>0</v>
      </c>
      <c r="V20" s="11">
        <f t="shared" si="20"/>
        <v>0</v>
      </c>
      <c r="W20" s="11">
        <f t="shared" si="21"/>
        <v>0</v>
      </c>
      <c r="X20" s="11">
        <f t="shared" si="22"/>
        <v>0</v>
      </c>
      <c r="Y20" s="11">
        <f t="shared" si="23"/>
        <v>0</v>
      </c>
      <c r="Z20" s="12">
        <f t="shared" si="24"/>
        <v>0</v>
      </c>
      <c r="AA20" s="11">
        <f t="shared" si="25"/>
        <v>0</v>
      </c>
      <c r="AB20" s="11">
        <f t="shared" si="26"/>
        <v>0</v>
      </c>
      <c r="AC20" s="11">
        <f t="shared" si="27"/>
        <v>0</v>
      </c>
      <c r="AD20" s="11">
        <f t="shared" si="28"/>
        <v>0</v>
      </c>
      <c r="AE20" s="13">
        <f t="shared" si="29"/>
        <v>0</v>
      </c>
      <c r="AF20" s="13">
        <f t="shared" si="30"/>
        <v>0</v>
      </c>
      <c r="AG20" s="11">
        <f t="shared" si="31"/>
        <v>0</v>
      </c>
      <c r="AH20" s="14" t="str">
        <f t="shared" si="0"/>
        <v>InvalidSymbolDetails</v>
      </c>
      <c r="AI20" s="12">
        <f t="shared" si="32"/>
        <v>0</v>
      </c>
    </row>
    <row r="21" spans="1:35" x14ac:dyDescent="0.25">
      <c r="A21" s="9"/>
      <c r="B21" s="9"/>
      <c r="C21" s="10" t="str">
        <f t="shared" si="1"/>
        <v/>
      </c>
      <c r="D21" s="11">
        <f t="shared" si="2"/>
        <v>0</v>
      </c>
      <c r="E21" s="11">
        <f t="shared" si="3"/>
        <v>0</v>
      </c>
      <c r="F21" s="11">
        <f t="shared" si="4"/>
        <v>0</v>
      </c>
      <c r="G21" s="12">
        <f t="shared" si="5"/>
        <v>0</v>
      </c>
      <c r="H21" s="11">
        <f t="shared" si="6"/>
        <v>0</v>
      </c>
      <c r="I21" s="11">
        <f t="shared" si="7"/>
        <v>0</v>
      </c>
      <c r="J21" s="12">
        <f t="shared" si="8"/>
        <v>0</v>
      </c>
      <c r="K21" s="11">
        <f t="shared" si="9"/>
        <v>0</v>
      </c>
      <c r="L21" s="12">
        <f t="shared" si="10"/>
        <v>0</v>
      </c>
      <c r="M21" s="12">
        <f t="shared" si="11"/>
        <v>0</v>
      </c>
      <c r="N21" s="11">
        <f t="shared" si="12"/>
        <v>0</v>
      </c>
      <c r="O21" s="12">
        <f t="shared" si="13"/>
        <v>0</v>
      </c>
      <c r="P21" s="11">
        <f t="shared" si="14"/>
        <v>0</v>
      </c>
      <c r="Q21" s="12">
        <f t="shared" si="15"/>
        <v>0</v>
      </c>
      <c r="R21" s="11">
        <f t="shared" si="16"/>
        <v>0</v>
      </c>
      <c r="S21" s="12">
        <f t="shared" si="17"/>
        <v>0</v>
      </c>
      <c r="T21" s="12">
        <f t="shared" si="18"/>
        <v>0</v>
      </c>
      <c r="U21" s="12">
        <f t="shared" si="19"/>
        <v>0</v>
      </c>
      <c r="V21" s="11">
        <f t="shared" si="20"/>
        <v>0</v>
      </c>
      <c r="W21" s="11">
        <f t="shared" si="21"/>
        <v>0</v>
      </c>
      <c r="X21" s="11">
        <f t="shared" si="22"/>
        <v>0</v>
      </c>
      <c r="Y21" s="11">
        <f t="shared" si="23"/>
        <v>0</v>
      </c>
      <c r="Z21" s="12">
        <f t="shared" si="24"/>
        <v>0</v>
      </c>
      <c r="AA21" s="11">
        <f t="shared" si="25"/>
        <v>0</v>
      </c>
      <c r="AB21" s="11">
        <f t="shared" si="26"/>
        <v>0</v>
      </c>
      <c r="AC21" s="11">
        <f t="shared" si="27"/>
        <v>0</v>
      </c>
      <c r="AD21" s="11">
        <f t="shared" si="28"/>
        <v>0</v>
      </c>
      <c r="AE21" s="13">
        <f t="shared" si="29"/>
        <v>0</v>
      </c>
      <c r="AF21" s="13">
        <f t="shared" si="30"/>
        <v>0</v>
      </c>
      <c r="AG21" s="11">
        <f t="shared" si="31"/>
        <v>0</v>
      </c>
      <c r="AH21" s="14" t="str">
        <f t="shared" si="0"/>
        <v>InvalidSymbolDetails</v>
      </c>
      <c r="AI21" s="12">
        <f t="shared" si="32"/>
        <v>0</v>
      </c>
    </row>
    <row r="22" spans="1:35" x14ac:dyDescent="0.25">
      <c r="A22" s="9"/>
      <c r="B22" s="9"/>
      <c r="C22" s="10" t="str">
        <f t="shared" si="1"/>
        <v/>
      </c>
      <c r="D22" s="11">
        <f t="shared" si="2"/>
        <v>0</v>
      </c>
      <c r="E22" s="11">
        <f t="shared" si="3"/>
        <v>0</v>
      </c>
      <c r="F22" s="11">
        <f t="shared" si="4"/>
        <v>0</v>
      </c>
      <c r="G22" s="12">
        <f t="shared" si="5"/>
        <v>0</v>
      </c>
      <c r="H22" s="11">
        <f t="shared" si="6"/>
        <v>0</v>
      </c>
      <c r="I22" s="11">
        <f t="shared" si="7"/>
        <v>0</v>
      </c>
      <c r="J22" s="12">
        <f t="shared" si="8"/>
        <v>0</v>
      </c>
      <c r="K22" s="11">
        <f t="shared" si="9"/>
        <v>0</v>
      </c>
      <c r="L22" s="12">
        <f t="shared" si="10"/>
        <v>0</v>
      </c>
      <c r="M22" s="12">
        <f t="shared" si="11"/>
        <v>0</v>
      </c>
      <c r="N22" s="11">
        <f t="shared" si="12"/>
        <v>0</v>
      </c>
      <c r="O22" s="12">
        <f t="shared" si="13"/>
        <v>0</v>
      </c>
      <c r="P22" s="11">
        <f t="shared" si="14"/>
        <v>0</v>
      </c>
      <c r="Q22" s="12">
        <f t="shared" si="15"/>
        <v>0</v>
      </c>
      <c r="R22" s="11">
        <f t="shared" si="16"/>
        <v>0</v>
      </c>
      <c r="S22" s="12">
        <f t="shared" si="17"/>
        <v>0</v>
      </c>
      <c r="T22" s="12">
        <f t="shared" si="18"/>
        <v>0</v>
      </c>
      <c r="U22" s="12">
        <f t="shared" si="19"/>
        <v>0</v>
      </c>
      <c r="V22" s="11">
        <f t="shared" si="20"/>
        <v>0</v>
      </c>
      <c r="W22" s="11">
        <f t="shared" si="21"/>
        <v>0</v>
      </c>
      <c r="X22" s="11">
        <f t="shared" si="22"/>
        <v>0</v>
      </c>
      <c r="Y22" s="11">
        <f t="shared" si="23"/>
        <v>0</v>
      </c>
      <c r="Z22" s="12">
        <f t="shared" si="24"/>
        <v>0</v>
      </c>
      <c r="AA22" s="11">
        <f t="shared" si="25"/>
        <v>0</v>
      </c>
      <c r="AB22" s="11">
        <f t="shared" si="26"/>
        <v>0</v>
      </c>
      <c r="AC22" s="11">
        <f t="shared" si="27"/>
        <v>0</v>
      </c>
      <c r="AD22" s="11">
        <f t="shared" si="28"/>
        <v>0</v>
      </c>
      <c r="AE22" s="13">
        <f t="shared" si="29"/>
        <v>0</v>
      </c>
      <c r="AF22" s="13">
        <f t="shared" si="30"/>
        <v>0</v>
      </c>
      <c r="AG22" s="11">
        <f t="shared" si="31"/>
        <v>0</v>
      </c>
      <c r="AH22" s="14" t="str">
        <f t="shared" si="0"/>
        <v>InvalidSymbolDetails</v>
      </c>
      <c r="AI22" s="12">
        <f t="shared" si="32"/>
        <v>0</v>
      </c>
    </row>
    <row r="23" spans="1:35" x14ac:dyDescent="0.25">
      <c r="A23" s="9"/>
      <c r="B23" s="9"/>
      <c r="C23" s="10" t="str">
        <f t="shared" si="1"/>
        <v/>
      </c>
      <c r="D23" s="11">
        <f t="shared" si="2"/>
        <v>0</v>
      </c>
      <c r="E23" s="11">
        <f t="shared" si="3"/>
        <v>0</v>
      </c>
      <c r="F23" s="11">
        <f t="shared" si="4"/>
        <v>0</v>
      </c>
      <c r="G23" s="12">
        <f t="shared" si="5"/>
        <v>0</v>
      </c>
      <c r="H23" s="11">
        <f t="shared" si="6"/>
        <v>0</v>
      </c>
      <c r="I23" s="11">
        <f t="shared" si="7"/>
        <v>0</v>
      </c>
      <c r="J23" s="12">
        <f t="shared" si="8"/>
        <v>0</v>
      </c>
      <c r="K23" s="11">
        <f t="shared" si="9"/>
        <v>0</v>
      </c>
      <c r="L23" s="12">
        <f t="shared" si="10"/>
        <v>0</v>
      </c>
      <c r="M23" s="12">
        <f t="shared" si="11"/>
        <v>0</v>
      </c>
      <c r="N23" s="11">
        <f t="shared" si="12"/>
        <v>0</v>
      </c>
      <c r="O23" s="12">
        <f t="shared" si="13"/>
        <v>0</v>
      </c>
      <c r="P23" s="11">
        <f t="shared" si="14"/>
        <v>0</v>
      </c>
      <c r="Q23" s="12">
        <f t="shared" si="15"/>
        <v>0</v>
      </c>
      <c r="R23" s="11">
        <f t="shared" si="16"/>
        <v>0</v>
      </c>
      <c r="S23" s="12">
        <f t="shared" si="17"/>
        <v>0</v>
      </c>
      <c r="T23" s="12">
        <f t="shared" si="18"/>
        <v>0</v>
      </c>
      <c r="U23" s="12">
        <f t="shared" si="19"/>
        <v>0</v>
      </c>
      <c r="V23" s="11">
        <f t="shared" si="20"/>
        <v>0</v>
      </c>
      <c r="W23" s="11">
        <f t="shared" si="21"/>
        <v>0</v>
      </c>
      <c r="X23" s="11">
        <f t="shared" si="22"/>
        <v>0</v>
      </c>
      <c r="Y23" s="11">
        <f t="shared" si="23"/>
        <v>0</v>
      </c>
      <c r="Z23" s="12">
        <f t="shared" si="24"/>
        <v>0</v>
      </c>
      <c r="AA23" s="11">
        <f t="shared" si="25"/>
        <v>0</v>
      </c>
      <c r="AB23" s="11">
        <f t="shared" si="26"/>
        <v>0</v>
      </c>
      <c r="AC23" s="11">
        <f t="shared" si="27"/>
        <v>0</v>
      </c>
      <c r="AD23" s="11">
        <f t="shared" si="28"/>
        <v>0</v>
      </c>
      <c r="AE23" s="13">
        <f t="shared" si="29"/>
        <v>0</v>
      </c>
      <c r="AF23" s="13">
        <f t="shared" si="30"/>
        <v>0</v>
      </c>
      <c r="AG23" s="11">
        <f t="shared" si="31"/>
        <v>0</v>
      </c>
      <c r="AH23" s="14" t="str">
        <f t="shared" si="0"/>
        <v>InvalidSymbolDetails</v>
      </c>
      <c r="AI23" s="12">
        <f t="shared" si="32"/>
        <v>0</v>
      </c>
    </row>
    <row r="24" spans="1:35" x14ac:dyDescent="0.25">
      <c r="A24" s="9"/>
      <c r="B24" s="9"/>
      <c r="C24" s="10" t="str">
        <f t="shared" si="1"/>
        <v/>
      </c>
      <c r="D24" s="11">
        <f t="shared" si="2"/>
        <v>0</v>
      </c>
      <c r="E24" s="11">
        <f t="shared" si="3"/>
        <v>0</v>
      </c>
      <c r="F24" s="11">
        <f t="shared" si="4"/>
        <v>0</v>
      </c>
      <c r="G24" s="12">
        <f t="shared" si="5"/>
        <v>0</v>
      </c>
      <c r="H24" s="11">
        <f t="shared" si="6"/>
        <v>0</v>
      </c>
      <c r="I24" s="11">
        <f t="shared" si="7"/>
        <v>0</v>
      </c>
      <c r="J24" s="12">
        <f t="shared" si="8"/>
        <v>0</v>
      </c>
      <c r="K24" s="11">
        <f t="shared" si="9"/>
        <v>0</v>
      </c>
      <c r="L24" s="12">
        <f t="shared" si="10"/>
        <v>0</v>
      </c>
      <c r="M24" s="12">
        <f t="shared" si="11"/>
        <v>0</v>
      </c>
      <c r="N24" s="11">
        <f t="shared" si="12"/>
        <v>0</v>
      </c>
      <c r="O24" s="12">
        <f t="shared" si="13"/>
        <v>0</v>
      </c>
      <c r="P24" s="11">
        <f t="shared" si="14"/>
        <v>0</v>
      </c>
      <c r="Q24" s="12">
        <f t="shared" si="15"/>
        <v>0</v>
      </c>
      <c r="R24" s="11">
        <f t="shared" si="16"/>
        <v>0</v>
      </c>
      <c r="S24" s="12">
        <f t="shared" si="17"/>
        <v>0</v>
      </c>
      <c r="T24" s="12">
        <f t="shared" si="18"/>
        <v>0</v>
      </c>
      <c r="U24" s="12">
        <f t="shared" si="19"/>
        <v>0</v>
      </c>
      <c r="V24" s="11">
        <f t="shared" si="20"/>
        <v>0</v>
      </c>
      <c r="W24" s="11">
        <f t="shared" si="21"/>
        <v>0</v>
      </c>
      <c r="X24" s="11">
        <f t="shared" si="22"/>
        <v>0</v>
      </c>
      <c r="Y24" s="11">
        <f t="shared" si="23"/>
        <v>0</v>
      </c>
      <c r="Z24" s="12">
        <f t="shared" si="24"/>
        <v>0</v>
      </c>
      <c r="AA24" s="11">
        <f t="shared" si="25"/>
        <v>0</v>
      </c>
      <c r="AB24" s="11">
        <f t="shared" si="26"/>
        <v>0</v>
      </c>
      <c r="AC24" s="11">
        <f t="shared" si="27"/>
        <v>0</v>
      </c>
      <c r="AD24" s="11">
        <f t="shared" si="28"/>
        <v>0</v>
      </c>
      <c r="AE24" s="13">
        <f t="shared" si="29"/>
        <v>0</v>
      </c>
      <c r="AF24" s="13">
        <f t="shared" si="30"/>
        <v>0</v>
      </c>
      <c r="AG24" s="11">
        <f t="shared" si="31"/>
        <v>0</v>
      </c>
      <c r="AH24" s="14" t="str">
        <f t="shared" si="0"/>
        <v>InvalidSymbolDetails</v>
      </c>
      <c r="AI24" s="12">
        <f t="shared" si="32"/>
        <v>0</v>
      </c>
    </row>
    <row r="25" spans="1:35" x14ac:dyDescent="0.25">
      <c r="A25" s="9"/>
      <c r="B25" s="9"/>
      <c r="C25" s="10" t="str">
        <f t="shared" si="1"/>
        <v/>
      </c>
      <c r="D25" s="11">
        <f t="shared" si="2"/>
        <v>0</v>
      </c>
      <c r="E25" s="11">
        <f t="shared" si="3"/>
        <v>0</v>
      </c>
      <c r="F25" s="11">
        <f t="shared" si="4"/>
        <v>0</v>
      </c>
      <c r="G25" s="12">
        <f t="shared" si="5"/>
        <v>0</v>
      </c>
      <c r="H25" s="11">
        <f t="shared" si="6"/>
        <v>0</v>
      </c>
      <c r="I25" s="11">
        <f t="shared" si="7"/>
        <v>0</v>
      </c>
      <c r="J25" s="12">
        <f t="shared" si="8"/>
        <v>0</v>
      </c>
      <c r="K25" s="11">
        <f t="shared" si="9"/>
        <v>0</v>
      </c>
      <c r="L25" s="12">
        <f t="shared" si="10"/>
        <v>0</v>
      </c>
      <c r="M25" s="12">
        <f t="shared" si="11"/>
        <v>0</v>
      </c>
      <c r="N25" s="11">
        <f t="shared" si="12"/>
        <v>0</v>
      </c>
      <c r="O25" s="12">
        <f t="shared" si="13"/>
        <v>0</v>
      </c>
      <c r="P25" s="11">
        <f t="shared" si="14"/>
        <v>0</v>
      </c>
      <c r="Q25" s="12">
        <f t="shared" si="15"/>
        <v>0</v>
      </c>
      <c r="R25" s="11">
        <f t="shared" si="16"/>
        <v>0</v>
      </c>
      <c r="S25" s="12">
        <f t="shared" si="17"/>
        <v>0</v>
      </c>
      <c r="T25" s="12">
        <f t="shared" si="18"/>
        <v>0</v>
      </c>
      <c r="U25" s="12">
        <f t="shared" si="19"/>
        <v>0</v>
      </c>
      <c r="V25" s="11">
        <f t="shared" si="20"/>
        <v>0</v>
      </c>
      <c r="W25" s="11">
        <f t="shared" si="21"/>
        <v>0</v>
      </c>
      <c r="X25" s="11">
        <f t="shared" si="22"/>
        <v>0</v>
      </c>
      <c r="Y25" s="11">
        <f t="shared" si="23"/>
        <v>0</v>
      </c>
      <c r="Z25" s="12">
        <f t="shared" si="24"/>
        <v>0</v>
      </c>
      <c r="AA25" s="11">
        <f t="shared" si="25"/>
        <v>0</v>
      </c>
      <c r="AB25" s="11">
        <f t="shared" si="26"/>
        <v>0</v>
      </c>
      <c r="AC25" s="11">
        <f t="shared" si="27"/>
        <v>0</v>
      </c>
      <c r="AD25" s="11">
        <f t="shared" si="28"/>
        <v>0</v>
      </c>
      <c r="AE25" s="13">
        <f t="shared" si="29"/>
        <v>0</v>
      </c>
      <c r="AF25" s="13">
        <f t="shared" si="30"/>
        <v>0</v>
      </c>
      <c r="AG25" s="11">
        <f t="shared" si="31"/>
        <v>0</v>
      </c>
      <c r="AH25" s="14" t="str">
        <f t="shared" si="0"/>
        <v>InvalidSymbolDetails</v>
      </c>
      <c r="AI25" s="12">
        <f t="shared" si="32"/>
        <v>0</v>
      </c>
    </row>
    <row r="26" spans="1:35" x14ac:dyDescent="0.25">
      <c r="A26" s="9"/>
      <c r="B26" s="9"/>
      <c r="C26" s="10" t="str">
        <f t="shared" si="1"/>
        <v/>
      </c>
      <c r="D26" s="11">
        <f t="shared" si="2"/>
        <v>0</v>
      </c>
      <c r="E26" s="11">
        <f t="shared" si="3"/>
        <v>0</v>
      </c>
      <c r="F26" s="11">
        <f t="shared" si="4"/>
        <v>0</v>
      </c>
      <c r="G26" s="12">
        <f t="shared" si="5"/>
        <v>0</v>
      </c>
      <c r="H26" s="11">
        <f t="shared" si="6"/>
        <v>0</v>
      </c>
      <c r="I26" s="11">
        <f t="shared" si="7"/>
        <v>0</v>
      </c>
      <c r="J26" s="12">
        <f t="shared" si="8"/>
        <v>0</v>
      </c>
      <c r="K26" s="11">
        <f t="shared" si="9"/>
        <v>0</v>
      </c>
      <c r="L26" s="12">
        <f t="shared" si="10"/>
        <v>0</v>
      </c>
      <c r="M26" s="12">
        <f t="shared" si="11"/>
        <v>0</v>
      </c>
      <c r="N26" s="11">
        <f t="shared" si="12"/>
        <v>0</v>
      </c>
      <c r="O26" s="12">
        <f t="shared" si="13"/>
        <v>0</v>
      </c>
      <c r="P26" s="11">
        <f t="shared" si="14"/>
        <v>0</v>
      </c>
      <c r="Q26" s="12">
        <f t="shared" si="15"/>
        <v>0</v>
      </c>
      <c r="R26" s="11">
        <f t="shared" si="16"/>
        <v>0</v>
      </c>
      <c r="S26" s="12">
        <f t="shared" si="17"/>
        <v>0</v>
      </c>
      <c r="T26" s="12">
        <f t="shared" si="18"/>
        <v>0</v>
      </c>
      <c r="U26" s="12">
        <f t="shared" si="19"/>
        <v>0</v>
      </c>
      <c r="V26" s="11">
        <f t="shared" si="20"/>
        <v>0</v>
      </c>
      <c r="W26" s="11">
        <f t="shared" si="21"/>
        <v>0</v>
      </c>
      <c r="X26" s="11">
        <f t="shared" si="22"/>
        <v>0</v>
      </c>
      <c r="Y26" s="11">
        <f t="shared" si="23"/>
        <v>0</v>
      </c>
      <c r="Z26" s="12">
        <f t="shared" si="24"/>
        <v>0</v>
      </c>
      <c r="AA26" s="11">
        <f t="shared" si="25"/>
        <v>0</v>
      </c>
      <c r="AB26" s="11">
        <f t="shared" si="26"/>
        <v>0</v>
      </c>
      <c r="AC26" s="11">
        <f t="shared" si="27"/>
        <v>0</v>
      </c>
      <c r="AD26" s="11">
        <f t="shared" si="28"/>
        <v>0</v>
      </c>
      <c r="AE26" s="13">
        <f t="shared" si="29"/>
        <v>0</v>
      </c>
      <c r="AF26" s="13">
        <f t="shared" si="30"/>
        <v>0</v>
      </c>
      <c r="AG26" s="11">
        <f t="shared" si="31"/>
        <v>0</v>
      </c>
      <c r="AH26" s="14" t="str">
        <f t="shared" si="0"/>
        <v>InvalidSymbolDetails</v>
      </c>
      <c r="AI26" s="12">
        <f t="shared" si="32"/>
        <v>0</v>
      </c>
    </row>
    <row r="27" spans="1:35" x14ac:dyDescent="0.25">
      <c r="A27" s="9"/>
      <c r="B27" s="9"/>
      <c r="C27" s="10" t="str">
        <f t="shared" si="1"/>
        <v/>
      </c>
      <c r="D27" s="11">
        <f t="shared" si="2"/>
        <v>0</v>
      </c>
      <c r="E27" s="11">
        <f t="shared" si="3"/>
        <v>0</v>
      </c>
      <c r="F27" s="11">
        <f t="shared" si="4"/>
        <v>0</v>
      </c>
      <c r="G27" s="12">
        <f t="shared" si="5"/>
        <v>0</v>
      </c>
      <c r="H27" s="11">
        <f t="shared" si="6"/>
        <v>0</v>
      </c>
      <c r="I27" s="11">
        <f t="shared" si="7"/>
        <v>0</v>
      </c>
      <c r="J27" s="12">
        <f t="shared" si="8"/>
        <v>0</v>
      </c>
      <c r="K27" s="11">
        <f t="shared" si="9"/>
        <v>0</v>
      </c>
      <c r="L27" s="12">
        <f t="shared" si="10"/>
        <v>0</v>
      </c>
      <c r="M27" s="12">
        <f t="shared" si="11"/>
        <v>0</v>
      </c>
      <c r="N27" s="11">
        <f t="shared" si="12"/>
        <v>0</v>
      </c>
      <c r="O27" s="12">
        <f t="shared" si="13"/>
        <v>0</v>
      </c>
      <c r="P27" s="11">
        <f t="shared" si="14"/>
        <v>0</v>
      </c>
      <c r="Q27" s="12">
        <f t="shared" si="15"/>
        <v>0</v>
      </c>
      <c r="R27" s="11">
        <f t="shared" si="16"/>
        <v>0</v>
      </c>
      <c r="S27" s="12">
        <f t="shared" si="17"/>
        <v>0</v>
      </c>
      <c r="T27" s="12">
        <f t="shared" si="18"/>
        <v>0</v>
      </c>
      <c r="U27" s="12">
        <f t="shared" si="19"/>
        <v>0</v>
      </c>
      <c r="V27" s="11">
        <f t="shared" si="20"/>
        <v>0</v>
      </c>
      <c r="W27" s="11">
        <f t="shared" si="21"/>
        <v>0</v>
      </c>
      <c r="X27" s="11">
        <f t="shared" si="22"/>
        <v>0</v>
      </c>
      <c r="Y27" s="11">
        <f t="shared" si="23"/>
        <v>0</v>
      </c>
      <c r="Z27" s="12">
        <f t="shared" si="24"/>
        <v>0</v>
      </c>
      <c r="AA27" s="11">
        <f t="shared" si="25"/>
        <v>0</v>
      </c>
      <c r="AB27" s="11">
        <f t="shared" si="26"/>
        <v>0</v>
      </c>
      <c r="AC27" s="11">
        <f t="shared" si="27"/>
        <v>0</v>
      </c>
      <c r="AD27" s="11">
        <f t="shared" si="28"/>
        <v>0</v>
      </c>
      <c r="AE27" s="13">
        <f t="shared" si="29"/>
        <v>0</v>
      </c>
      <c r="AF27" s="13">
        <f t="shared" si="30"/>
        <v>0</v>
      </c>
      <c r="AG27" s="11">
        <f t="shared" si="31"/>
        <v>0</v>
      </c>
      <c r="AH27" s="14" t="str">
        <f t="shared" si="0"/>
        <v>InvalidSymbolDetails</v>
      </c>
      <c r="AI27" s="12">
        <f t="shared" si="32"/>
        <v>0</v>
      </c>
    </row>
    <row r="28" spans="1:35" x14ac:dyDescent="0.25">
      <c r="A28" s="9"/>
      <c r="B28" s="9"/>
      <c r="C28" s="10" t="str">
        <f t="shared" si="1"/>
        <v/>
      </c>
      <c r="D28" s="11">
        <f t="shared" si="2"/>
        <v>0</v>
      </c>
      <c r="E28" s="11">
        <f t="shared" si="3"/>
        <v>0</v>
      </c>
      <c r="F28" s="11">
        <f t="shared" si="4"/>
        <v>0</v>
      </c>
      <c r="G28" s="12">
        <f t="shared" si="5"/>
        <v>0</v>
      </c>
      <c r="H28" s="11">
        <f t="shared" si="6"/>
        <v>0</v>
      </c>
      <c r="I28" s="11">
        <f t="shared" si="7"/>
        <v>0</v>
      </c>
      <c r="J28" s="12">
        <f t="shared" si="8"/>
        <v>0</v>
      </c>
      <c r="K28" s="11">
        <f t="shared" si="9"/>
        <v>0</v>
      </c>
      <c r="L28" s="12">
        <f t="shared" si="10"/>
        <v>0</v>
      </c>
      <c r="M28" s="12">
        <f t="shared" si="11"/>
        <v>0</v>
      </c>
      <c r="N28" s="11">
        <f t="shared" si="12"/>
        <v>0</v>
      </c>
      <c r="O28" s="12">
        <f t="shared" si="13"/>
        <v>0</v>
      </c>
      <c r="P28" s="11">
        <f t="shared" si="14"/>
        <v>0</v>
      </c>
      <c r="Q28" s="12">
        <f t="shared" si="15"/>
        <v>0</v>
      </c>
      <c r="R28" s="11">
        <f t="shared" si="16"/>
        <v>0</v>
      </c>
      <c r="S28" s="12">
        <f t="shared" si="17"/>
        <v>0</v>
      </c>
      <c r="T28" s="12">
        <f t="shared" si="18"/>
        <v>0</v>
      </c>
      <c r="U28" s="12">
        <f t="shared" si="19"/>
        <v>0</v>
      </c>
      <c r="V28" s="11">
        <f t="shared" si="20"/>
        <v>0</v>
      </c>
      <c r="W28" s="11">
        <f t="shared" si="21"/>
        <v>0</v>
      </c>
      <c r="X28" s="11">
        <f t="shared" si="22"/>
        <v>0</v>
      </c>
      <c r="Y28" s="11">
        <f t="shared" si="23"/>
        <v>0</v>
      </c>
      <c r="Z28" s="12">
        <f t="shared" si="24"/>
        <v>0</v>
      </c>
      <c r="AA28" s="11">
        <f t="shared" si="25"/>
        <v>0</v>
      </c>
      <c r="AB28" s="11">
        <f t="shared" si="26"/>
        <v>0</v>
      </c>
      <c r="AC28" s="11">
        <f t="shared" si="27"/>
        <v>0</v>
      </c>
      <c r="AD28" s="11">
        <f t="shared" si="28"/>
        <v>0</v>
      </c>
      <c r="AE28" s="13">
        <f t="shared" si="29"/>
        <v>0</v>
      </c>
      <c r="AF28" s="13">
        <f t="shared" si="30"/>
        <v>0</v>
      </c>
      <c r="AG28" s="11">
        <f t="shared" si="31"/>
        <v>0</v>
      </c>
      <c r="AH28" s="14" t="str">
        <f t="shared" si="0"/>
        <v>InvalidSymbolDetails</v>
      </c>
      <c r="AI28" s="12">
        <f t="shared" si="32"/>
        <v>0</v>
      </c>
    </row>
    <row r="29" spans="1:35" x14ac:dyDescent="0.25">
      <c r="A29" s="9"/>
      <c r="B29" s="9"/>
      <c r="C29" s="10" t="str">
        <f t="shared" si="1"/>
        <v/>
      </c>
      <c r="D29" s="11">
        <f t="shared" si="2"/>
        <v>0</v>
      </c>
      <c r="E29" s="11">
        <f t="shared" si="3"/>
        <v>0</v>
      </c>
      <c r="F29" s="11">
        <f t="shared" si="4"/>
        <v>0</v>
      </c>
      <c r="G29" s="12">
        <f t="shared" si="5"/>
        <v>0</v>
      </c>
      <c r="H29" s="11">
        <f t="shared" si="6"/>
        <v>0</v>
      </c>
      <c r="I29" s="11">
        <f t="shared" si="7"/>
        <v>0</v>
      </c>
      <c r="J29" s="12">
        <f t="shared" si="8"/>
        <v>0</v>
      </c>
      <c r="K29" s="11">
        <f t="shared" si="9"/>
        <v>0</v>
      </c>
      <c r="L29" s="12">
        <f t="shared" si="10"/>
        <v>0</v>
      </c>
      <c r="M29" s="12">
        <f t="shared" si="11"/>
        <v>0</v>
      </c>
      <c r="N29" s="11">
        <f t="shared" si="12"/>
        <v>0</v>
      </c>
      <c r="O29" s="12">
        <f t="shared" si="13"/>
        <v>0</v>
      </c>
      <c r="P29" s="11">
        <f t="shared" si="14"/>
        <v>0</v>
      </c>
      <c r="Q29" s="12">
        <f t="shared" si="15"/>
        <v>0</v>
      </c>
      <c r="R29" s="11">
        <f t="shared" si="16"/>
        <v>0</v>
      </c>
      <c r="S29" s="12">
        <f t="shared" si="17"/>
        <v>0</v>
      </c>
      <c r="T29" s="12">
        <f t="shared" si="18"/>
        <v>0</v>
      </c>
      <c r="U29" s="12">
        <f t="shared" si="19"/>
        <v>0</v>
      </c>
      <c r="V29" s="11">
        <f t="shared" si="20"/>
        <v>0</v>
      </c>
      <c r="W29" s="11">
        <f t="shared" si="21"/>
        <v>0</v>
      </c>
      <c r="X29" s="11">
        <f t="shared" si="22"/>
        <v>0</v>
      </c>
      <c r="Y29" s="11">
        <f t="shared" si="23"/>
        <v>0</v>
      </c>
      <c r="Z29" s="12">
        <f t="shared" si="24"/>
        <v>0</v>
      </c>
      <c r="AA29" s="11">
        <f t="shared" si="25"/>
        <v>0</v>
      </c>
      <c r="AB29" s="11">
        <f t="shared" si="26"/>
        <v>0</v>
      </c>
      <c r="AC29" s="11">
        <f t="shared" si="27"/>
        <v>0</v>
      </c>
      <c r="AD29" s="11">
        <f t="shared" si="28"/>
        <v>0</v>
      </c>
      <c r="AE29" s="13">
        <f t="shared" si="29"/>
        <v>0</v>
      </c>
      <c r="AF29" s="13">
        <f t="shared" si="30"/>
        <v>0</v>
      </c>
      <c r="AG29" s="11">
        <f t="shared" si="31"/>
        <v>0</v>
      </c>
      <c r="AH29" s="14" t="str">
        <f t="shared" si="0"/>
        <v>InvalidSymbolDetails</v>
      </c>
      <c r="AI29" s="12">
        <f t="shared" si="32"/>
        <v>0</v>
      </c>
    </row>
    <row r="30" spans="1:35" x14ac:dyDescent="0.25">
      <c r="A30" s="9"/>
      <c r="B30" s="9"/>
      <c r="C30" s="10" t="str">
        <f t="shared" si="1"/>
        <v/>
      </c>
      <c r="D30" s="11">
        <f t="shared" si="2"/>
        <v>0</v>
      </c>
      <c r="E30" s="11">
        <f t="shared" si="3"/>
        <v>0</v>
      </c>
      <c r="F30" s="11">
        <f t="shared" si="4"/>
        <v>0</v>
      </c>
      <c r="G30" s="12">
        <f t="shared" si="5"/>
        <v>0</v>
      </c>
      <c r="H30" s="11">
        <f t="shared" si="6"/>
        <v>0</v>
      </c>
      <c r="I30" s="11">
        <f t="shared" si="7"/>
        <v>0</v>
      </c>
      <c r="J30" s="12">
        <f t="shared" si="8"/>
        <v>0</v>
      </c>
      <c r="K30" s="11">
        <f t="shared" si="9"/>
        <v>0</v>
      </c>
      <c r="L30" s="12">
        <f t="shared" si="10"/>
        <v>0</v>
      </c>
      <c r="M30" s="12">
        <f t="shared" si="11"/>
        <v>0</v>
      </c>
      <c r="N30" s="11">
        <f t="shared" si="12"/>
        <v>0</v>
      </c>
      <c r="O30" s="12">
        <f t="shared" si="13"/>
        <v>0</v>
      </c>
      <c r="P30" s="11">
        <f t="shared" si="14"/>
        <v>0</v>
      </c>
      <c r="Q30" s="12">
        <f t="shared" si="15"/>
        <v>0</v>
      </c>
      <c r="R30" s="11">
        <f t="shared" si="16"/>
        <v>0</v>
      </c>
      <c r="S30" s="12">
        <f t="shared" si="17"/>
        <v>0</v>
      </c>
      <c r="T30" s="12">
        <f t="shared" si="18"/>
        <v>0</v>
      </c>
      <c r="U30" s="12">
        <f t="shared" si="19"/>
        <v>0</v>
      </c>
      <c r="V30" s="11">
        <f t="shared" si="20"/>
        <v>0</v>
      </c>
      <c r="W30" s="11">
        <f t="shared" si="21"/>
        <v>0</v>
      </c>
      <c r="X30" s="11">
        <f t="shared" si="22"/>
        <v>0</v>
      </c>
      <c r="Y30" s="11">
        <f t="shared" si="23"/>
        <v>0</v>
      </c>
      <c r="Z30" s="12">
        <f t="shared" si="24"/>
        <v>0</v>
      </c>
      <c r="AA30" s="11">
        <f t="shared" si="25"/>
        <v>0</v>
      </c>
      <c r="AB30" s="11">
        <f t="shared" si="26"/>
        <v>0</v>
      </c>
      <c r="AC30" s="11">
        <f t="shared" si="27"/>
        <v>0</v>
      </c>
      <c r="AD30" s="11">
        <f t="shared" si="28"/>
        <v>0</v>
      </c>
      <c r="AE30" s="13">
        <f t="shared" si="29"/>
        <v>0</v>
      </c>
      <c r="AF30" s="13">
        <f t="shared" si="30"/>
        <v>0</v>
      </c>
      <c r="AG30" s="11">
        <f t="shared" si="31"/>
        <v>0</v>
      </c>
      <c r="AH30" s="14" t="str">
        <f t="shared" si="0"/>
        <v>InvalidSymbolDetails</v>
      </c>
      <c r="AI30" s="12">
        <f t="shared" si="32"/>
        <v>0</v>
      </c>
    </row>
    <row r="31" spans="1:35" x14ac:dyDescent="0.25">
      <c r="A31" s="9"/>
      <c r="B31" s="9"/>
      <c r="C31" s="10" t="str">
        <f t="shared" si="1"/>
        <v/>
      </c>
      <c r="D31" s="11">
        <f t="shared" si="2"/>
        <v>0</v>
      </c>
      <c r="E31" s="11">
        <f t="shared" si="3"/>
        <v>0</v>
      </c>
      <c r="F31" s="11">
        <f t="shared" si="4"/>
        <v>0</v>
      </c>
      <c r="G31" s="12">
        <f t="shared" si="5"/>
        <v>0</v>
      </c>
      <c r="H31" s="11">
        <f t="shared" si="6"/>
        <v>0</v>
      </c>
      <c r="I31" s="11">
        <f t="shared" si="7"/>
        <v>0</v>
      </c>
      <c r="J31" s="12">
        <f t="shared" si="8"/>
        <v>0</v>
      </c>
      <c r="K31" s="11">
        <f t="shared" si="9"/>
        <v>0</v>
      </c>
      <c r="L31" s="12">
        <f t="shared" si="10"/>
        <v>0</v>
      </c>
      <c r="M31" s="12">
        <f t="shared" si="11"/>
        <v>0</v>
      </c>
      <c r="N31" s="11">
        <f t="shared" si="12"/>
        <v>0</v>
      </c>
      <c r="O31" s="12">
        <f t="shared" si="13"/>
        <v>0</v>
      </c>
      <c r="P31" s="11">
        <f t="shared" si="14"/>
        <v>0</v>
      </c>
      <c r="Q31" s="12">
        <f t="shared" si="15"/>
        <v>0</v>
      </c>
      <c r="R31" s="11">
        <f t="shared" si="16"/>
        <v>0</v>
      </c>
      <c r="S31" s="12">
        <f t="shared" si="17"/>
        <v>0</v>
      </c>
      <c r="T31" s="12">
        <f t="shared" si="18"/>
        <v>0</v>
      </c>
      <c r="U31" s="12">
        <f t="shared" si="19"/>
        <v>0</v>
      </c>
      <c r="V31" s="11">
        <f t="shared" si="20"/>
        <v>0</v>
      </c>
      <c r="W31" s="11">
        <f t="shared" si="21"/>
        <v>0</v>
      </c>
      <c r="X31" s="11">
        <f t="shared" si="22"/>
        <v>0</v>
      </c>
      <c r="Y31" s="11">
        <f t="shared" si="23"/>
        <v>0</v>
      </c>
      <c r="Z31" s="12">
        <f t="shared" si="24"/>
        <v>0</v>
      </c>
      <c r="AA31" s="11">
        <f t="shared" si="25"/>
        <v>0</v>
      </c>
      <c r="AB31" s="11">
        <f t="shared" si="26"/>
        <v>0</v>
      </c>
      <c r="AC31" s="11">
        <f t="shared" si="27"/>
        <v>0</v>
      </c>
      <c r="AD31" s="11">
        <f t="shared" si="28"/>
        <v>0</v>
      </c>
      <c r="AE31" s="13">
        <f t="shared" si="29"/>
        <v>0</v>
      </c>
      <c r="AF31" s="13">
        <f t="shared" si="30"/>
        <v>0</v>
      </c>
      <c r="AG31" s="11">
        <f t="shared" si="31"/>
        <v>0</v>
      </c>
      <c r="AH31" s="14" t="str">
        <f t="shared" si="0"/>
        <v>InvalidSymbolDetails</v>
      </c>
      <c r="AI31" s="12">
        <f t="shared" si="32"/>
        <v>0</v>
      </c>
    </row>
    <row r="32" spans="1:35" x14ac:dyDescent="0.25">
      <c r="A32" s="9"/>
      <c r="B32" s="9"/>
      <c r="C32" s="10" t="str">
        <f t="shared" si="1"/>
        <v/>
      </c>
      <c r="D32" s="11">
        <f t="shared" si="2"/>
        <v>0</v>
      </c>
      <c r="E32" s="11">
        <f t="shared" si="3"/>
        <v>0</v>
      </c>
      <c r="F32" s="11">
        <f t="shared" si="4"/>
        <v>0</v>
      </c>
      <c r="G32" s="12">
        <f t="shared" si="5"/>
        <v>0</v>
      </c>
      <c r="H32" s="11">
        <f t="shared" si="6"/>
        <v>0</v>
      </c>
      <c r="I32" s="11">
        <f t="shared" si="7"/>
        <v>0</v>
      </c>
      <c r="J32" s="12">
        <f t="shared" si="8"/>
        <v>0</v>
      </c>
      <c r="K32" s="11">
        <f t="shared" si="9"/>
        <v>0</v>
      </c>
      <c r="L32" s="12">
        <f t="shared" si="10"/>
        <v>0</v>
      </c>
      <c r="M32" s="12">
        <f t="shared" si="11"/>
        <v>0</v>
      </c>
      <c r="N32" s="11">
        <f t="shared" si="12"/>
        <v>0</v>
      </c>
      <c r="O32" s="12">
        <f t="shared" si="13"/>
        <v>0</v>
      </c>
      <c r="P32" s="11">
        <f t="shared" si="14"/>
        <v>0</v>
      </c>
      <c r="Q32" s="12">
        <f t="shared" si="15"/>
        <v>0</v>
      </c>
      <c r="R32" s="11">
        <f t="shared" si="16"/>
        <v>0</v>
      </c>
      <c r="S32" s="12">
        <f t="shared" si="17"/>
        <v>0</v>
      </c>
      <c r="T32" s="12">
        <f t="shared" si="18"/>
        <v>0</v>
      </c>
      <c r="U32" s="12">
        <f t="shared" si="19"/>
        <v>0</v>
      </c>
      <c r="V32" s="11">
        <f t="shared" si="20"/>
        <v>0</v>
      </c>
      <c r="W32" s="11">
        <f t="shared" si="21"/>
        <v>0</v>
      </c>
      <c r="X32" s="11">
        <f t="shared" si="22"/>
        <v>0</v>
      </c>
      <c r="Y32" s="11">
        <f t="shared" si="23"/>
        <v>0</v>
      </c>
      <c r="Z32" s="12">
        <f t="shared" si="24"/>
        <v>0</v>
      </c>
      <c r="AA32" s="11">
        <f t="shared" si="25"/>
        <v>0</v>
      </c>
      <c r="AB32" s="11">
        <f t="shared" si="26"/>
        <v>0</v>
      </c>
      <c r="AC32" s="11">
        <f t="shared" si="27"/>
        <v>0</v>
      </c>
      <c r="AD32" s="11">
        <f t="shared" si="28"/>
        <v>0</v>
      </c>
      <c r="AE32" s="13">
        <f t="shared" si="29"/>
        <v>0</v>
      </c>
      <c r="AF32" s="13">
        <f t="shared" si="30"/>
        <v>0</v>
      </c>
      <c r="AG32" s="11">
        <f t="shared" si="31"/>
        <v>0</v>
      </c>
      <c r="AH32" s="14" t="str">
        <f t="shared" si="0"/>
        <v>InvalidSymbolDetails</v>
      </c>
      <c r="AI32" s="12">
        <f t="shared" si="32"/>
        <v>0</v>
      </c>
    </row>
    <row r="33" spans="1:35" x14ac:dyDescent="0.25">
      <c r="A33" s="9"/>
      <c r="B33" s="9"/>
      <c r="C33" s="10" t="str">
        <f t="shared" si="1"/>
        <v/>
      </c>
      <c r="D33" s="11">
        <f t="shared" si="2"/>
        <v>0</v>
      </c>
      <c r="E33" s="11">
        <f t="shared" si="3"/>
        <v>0</v>
      </c>
      <c r="F33" s="11">
        <f t="shared" si="4"/>
        <v>0</v>
      </c>
      <c r="G33" s="12">
        <f t="shared" si="5"/>
        <v>0</v>
      </c>
      <c r="H33" s="11">
        <f t="shared" si="6"/>
        <v>0</v>
      </c>
      <c r="I33" s="11">
        <f t="shared" si="7"/>
        <v>0</v>
      </c>
      <c r="J33" s="12">
        <f t="shared" si="8"/>
        <v>0</v>
      </c>
      <c r="K33" s="11">
        <f t="shared" si="9"/>
        <v>0</v>
      </c>
      <c r="L33" s="12">
        <f t="shared" si="10"/>
        <v>0</v>
      </c>
      <c r="M33" s="12">
        <f t="shared" si="11"/>
        <v>0</v>
      </c>
      <c r="N33" s="11">
        <f t="shared" si="12"/>
        <v>0</v>
      </c>
      <c r="O33" s="12">
        <f t="shared" si="13"/>
        <v>0</v>
      </c>
      <c r="P33" s="11">
        <f t="shared" si="14"/>
        <v>0</v>
      </c>
      <c r="Q33" s="12">
        <f t="shared" si="15"/>
        <v>0</v>
      </c>
      <c r="R33" s="11">
        <f t="shared" si="16"/>
        <v>0</v>
      </c>
      <c r="S33" s="12">
        <f t="shared" si="17"/>
        <v>0</v>
      </c>
      <c r="T33" s="12">
        <f t="shared" si="18"/>
        <v>0</v>
      </c>
      <c r="U33" s="12">
        <f t="shared" si="19"/>
        <v>0</v>
      </c>
      <c r="V33" s="11">
        <f t="shared" si="20"/>
        <v>0</v>
      </c>
      <c r="W33" s="11">
        <f t="shared" si="21"/>
        <v>0</v>
      </c>
      <c r="X33" s="11">
        <f t="shared" si="22"/>
        <v>0</v>
      </c>
      <c r="Y33" s="11">
        <f t="shared" si="23"/>
        <v>0</v>
      </c>
      <c r="Z33" s="12">
        <f t="shared" si="24"/>
        <v>0</v>
      </c>
      <c r="AA33" s="11">
        <f t="shared" si="25"/>
        <v>0</v>
      </c>
      <c r="AB33" s="11">
        <f t="shared" si="26"/>
        <v>0</v>
      </c>
      <c r="AC33" s="11">
        <f t="shared" si="27"/>
        <v>0</v>
      </c>
      <c r="AD33" s="11">
        <f t="shared" si="28"/>
        <v>0</v>
      </c>
      <c r="AE33" s="13">
        <f t="shared" si="29"/>
        <v>0</v>
      </c>
      <c r="AF33" s="13">
        <f t="shared" si="30"/>
        <v>0</v>
      </c>
      <c r="AG33" s="11">
        <f t="shared" si="31"/>
        <v>0</v>
      </c>
      <c r="AH33" s="14" t="str">
        <f t="shared" si="0"/>
        <v>InvalidSymbolDetails</v>
      </c>
      <c r="AI33" s="12">
        <f t="shared" si="32"/>
        <v>0</v>
      </c>
    </row>
    <row r="34" spans="1:35" x14ac:dyDescent="0.25">
      <c r="A34" s="9"/>
      <c r="B34" s="9"/>
      <c r="C34" s="10" t="str">
        <f t="shared" si="1"/>
        <v/>
      </c>
      <c r="D34" s="11">
        <f t="shared" si="2"/>
        <v>0</v>
      </c>
      <c r="E34" s="11">
        <f t="shared" si="3"/>
        <v>0</v>
      </c>
      <c r="F34" s="11">
        <f t="shared" si="4"/>
        <v>0</v>
      </c>
      <c r="G34" s="12">
        <f t="shared" si="5"/>
        <v>0</v>
      </c>
      <c r="H34" s="11">
        <f t="shared" si="6"/>
        <v>0</v>
      </c>
      <c r="I34" s="11">
        <f t="shared" si="7"/>
        <v>0</v>
      </c>
      <c r="J34" s="12">
        <f t="shared" si="8"/>
        <v>0</v>
      </c>
      <c r="K34" s="11">
        <f t="shared" si="9"/>
        <v>0</v>
      </c>
      <c r="L34" s="12">
        <f t="shared" si="10"/>
        <v>0</v>
      </c>
      <c r="M34" s="12">
        <f t="shared" si="11"/>
        <v>0</v>
      </c>
      <c r="N34" s="11">
        <f t="shared" si="12"/>
        <v>0</v>
      </c>
      <c r="O34" s="12">
        <f t="shared" si="13"/>
        <v>0</v>
      </c>
      <c r="P34" s="11">
        <f t="shared" si="14"/>
        <v>0</v>
      </c>
      <c r="Q34" s="12">
        <f t="shared" si="15"/>
        <v>0</v>
      </c>
      <c r="R34" s="11">
        <f t="shared" si="16"/>
        <v>0</v>
      </c>
      <c r="S34" s="12">
        <f t="shared" si="17"/>
        <v>0</v>
      </c>
      <c r="T34" s="12">
        <f t="shared" si="18"/>
        <v>0</v>
      </c>
      <c r="U34" s="12">
        <f t="shared" si="19"/>
        <v>0</v>
      </c>
      <c r="V34" s="11">
        <f t="shared" si="20"/>
        <v>0</v>
      </c>
      <c r="W34" s="11">
        <f t="shared" si="21"/>
        <v>0</v>
      </c>
      <c r="X34" s="11">
        <f t="shared" si="22"/>
        <v>0</v>
      </c>
      <c r="Y34" s="11">
        <f t="shared" si="23"/>
        <v>0</v>
      </c>
      <c r="Z34" s="12">
        <f t="shared" si="24"/>
        <v>0</v>
      </c>
      <c r="AA34" s="11">
        <f t="shared" si="25"/>
        <v>0</v>
      </c>
      <c r="AB34" s="11">
        <f t="shared" si="26"/>
        <v>0</v>
      </c>
      <c r="AC34" s="11">
        <f t="shared" si="27"/>
        <v>0</v>
      </c>
      <c r="AD34" s="11">
        <f t="shared" si="28"/>
        <v>0</v>
      </c>
      <c r="AE34" s="13">
        <f t="shared" si="29"/>
        <v>0</v>
      </c>
      <c r="AF34" s="13">
        <f t="shared" si="30"/>
        <v>0</v>
      </c>
      <c r="AG34" s="11">
        <f t="shared" si="31"/>
        <v>0</v>
      </c>
      <c r="AH34" s="14" t="str">
        <f t="shared" ref="AH34:AH65" si="33">SubscribeQuotes(A34,B34)</f>
        <v>InvalidSymbolDetails</v>
      </c>
      <c r="AI34" s="12">
        <f t="shared" si="32"/>
        <v>0</v>
      </c>
    </row>
    <row r="35" spans="1:35" x14ac:dyDescent="0.25">
      <c r="A35" s="9"/>
      <c r="B35" s="9"/>
      <c r="C35" s="10" t="str">
        <f t="shared" si="1"/>
        <v/>
      </c>
      <c r="D35" s="11">
        <f t="shared" si="2"/>
        <v>0</v>
      </c>
      <c r="E35" s="11">
        <f t="shared" si="3"/>
        <v>0</v>
      </c>
      <c r="F35" s="11">
        <f t="shared" si="4"/>
        <v>0</v>
      </c>
      <c r="G35" s="12">
        <f t="shared" si="5"/>
        <v>0</v>
      </c>
      <c r="H35" s="11">
        <f t="shared" si="6"/>
        <v>0</v>
      </c>
      <c r="I35" s="11">
        <f t="shared" si="7"/>
        <v>0</v>
      </c>
      <c r="J35" s="12">
        <f t="shared" si="8"/>
        <v>0</v>
      </c>
      <c r="K35" s="11">
        <f t="shared" si="9"/>
        <v>0</v>
      </c>
      <c r="L35" s="12">
        <f t="shared" si="10"/>
        <v>0</v>
      </c>
      <c r="M35" s="12">
        <f t="shared" si="11"/>
        <v>0</v>
      </c>
      <c r="N35" s="11">
        <f t="shared" si="12"/>
        <v>0</v>
      </c>
      <c r="O35" s="12">
        <f t="shared" si="13"/>
        <v>0</v>
      </c>
      <c r="P35" s="11">
        <f t="shared" si="14"/>
        <v>0</v>
      </c>
      <c r="Q35" s="12">
        <f t="shared" si="15"/>
        <v>0</v>
      </c>
      <c r="R35" s="11">
        <f t="shared" si="16"/>
        <v>0</v>
      </c>
      <c r="S35" s="12">
        <f t="shared" si="17"/>
        <v>0</v>
      </c>
      <c r="T35" s="12">
        <f t="shared" si="18"/>
        <v>0</v>
      </c>
      <c r="U35" s="12">
        <f t="shared" si="19"/>
        <v>0</v>
      </c>
      <c r="V35" s="11">
        <f t="shared" si="20"/>
        <v>0</v>
      </c>
      <c r="W35" s="11">
        <f t="shared" si="21"/>
        <v>0</v>
      </c>
      <c r="X35" s="11">
        <f t="shared" si="22"/>
        <v>0</v>
      </c>
      <c r="Y35" s="11">
        <f t="shared" si="23"/>
        <v>0</v>
      </c>
      <c r="Z35" s="12">
        <f t="shared" si="24"/>
        <v>0</v>
      </c>
      <c r="AA35" s="11">
        <f t="shared" si="25"/>
        <v>0</v>
      </c>
      <c r="AB35" s="11">
        <f t="shared" si="26"/>
        <v>0</v>
      </c>
      <c r="AC35" s="11">
        <f t="shared" si="27"/>
        <v>0</v>
      </c>
      <c r="AD35" s="11">
        <f t="shared" si="28"/>
        <v>0</v>
      </c>
      <c r="AE35" s="13">
        <f t="shared" si="29"/>
        <v>0</v>
      </c>
      <c r="AF35" s="13">
        <f t="shared" si="30"/>
        <v>0</v>
      </c>
      <c r="AG35" s="11">
        <f t="shared" si="31"/>
        <v>0</v>
      </c>
      <c r="AH35" s="14" t="str">
        <f t="shared" si="33"/>
        <v>InvalidSymbolDetails</v>
      </c>
      <c r="AI35" s="12">
        <f t="shared" si="32"/>
        <v>0</v>
      </c>
    </row>
    <row r="36" spans="1:35" x14ac:dyDescent="0.25">
      <c r="A36" s="9"/>
      <c r="B36" s="9"/>
      <c r="C36" s="10" t="str">
        <f t="shared" si="1"/>
        <v/>
      </c>
      <c r="D36" s="11">
        <f t="shared" si="2"/>
        <v>0</v>
      </c>
      <c r="E36" s="11">
        <f t="shared" si="3"/>
        <v>0</v>
      </c>
      <c r="F36" s="11">
        <f t="shared" si="4"/>
        <v>0</v>
      </c>
      <c r="G36" s="12">
        <f t="shared" si="5"/>
        <v>0</v>
      </c>
      <c r="H36" s="11">
        <f t="shared" si="6"/>
        <v>0</v>
      </c>
      <c r="I36" s="11">
        <f t="shared" si="7"/>
        <v>0</v>
      </c>
      <c r="J36" s="12">
        <f t="shared" si="8"/>
        <v>0</v>
      </c>
      <c r="K36" s="11">
        <f t="shared" si="9"/>
        <v>0</v>
      </c>
      <c r="L36" s="12">
        <f t="shared" si="10"/>
        <v>0</v>
      </c>
      <c r="M36" s="12">
        <f t="shared" si="11"/>
        <v>0</v>
      </c>
      <c r="N36" s="11">
        <f t="shared" si="12"/>
        <v>0</v>
      </c>
      <c r="O36" s="12">
        <f t="shared" si="13"/>
        <v>0</v>
      </c>
      <c r="P36" s="11">
        <f t="shared" si="14"/>
        <v>0</v>
      </c>
      <c r="Q36" s="12">
        <f t="shared" si="15"/>
        <v>0</v>
      </c>
      <c r="R36" s="11">
        <f t="shared" si="16"/>
        <v>0</v>
      </c>
      <c r="S36" s="12">
        <f t="shared" si="17"/>
        <v>0</v>
      </c>
      <c r="T36" s="12">
        <f t="shared" si="18"/>
        <v>0</v>
      </c>
      <c r="U36" s="12">
        <f t="shared" si="19"/>
        <v>0</v>
      </c>
      <c r="V36" s="11">
        <f t="shared" si="20"/>
        <v>0</v>
      </c>
      <c r="W36" s="11">
        <f t="shared" si="21"/>
        <v>0</v>
      </c>
      <c r="X36" s="11">
        <f t="shared" si="22"/>
        <v>0</v>
      </c>
      <c r="Y36" s="11">
        <f t="shared" si="23"/>
        <v>0</v>
      </c>
      <c r="Z36" s="12">
        <f t="shared" si="24"/>
        <v>0</v>
      </c>
      <c r="AA36" s="11">
        <f t="shared" si="25"/>
        <v>0</v>
      </c>
      <c r="AB36" s="11">
        <f t="shared" si="26"/>
        <v>0</v>
      </c>
      <c r="AC36" s="11">
        <f t="shared" si="27"/>
        <v>0</v>
      </c>
      <c r="AD36" s="11">
        <f t="shared" si="28"/>
        <v>0</v>
      </c>
      <c r="AE36" s="13">
        <f t="shared" si="29"/>
        <v>0</v>
      </c>
      <c r="AF36" s="13">
        <f t="shared" si="30"/>
        <v>0</v>
      </c>
      <c r="AG36" s="11">
        <f t="shared" si="31"/>
        <v>0</v>
      </c>
      <c r="AH36" s="14" t="str">
        <f t="shared" si="33"/>
        <v>InvalidSymbolDetails</v>
      </c>
      <c r="AI36" s="12">
        <f t="shared" si="32"/>
        <v>0</v>
      </c>
    </row>
    <row r="37" spans="1:35" x14ac:dyDescent="0.25">
      <c r="A37" s="9"/>
      <c r="B37" s="9"/>
      <c r="C37" s="10" t="str">
        <f t="shared" si="1"/>
        <v/>
      </c>
      <c r="D37" s="11">
        <f t="shared" si="2"/>
        <v>0</v>
      </c>
      <c r="E37" s="11">
        <f t="shared" si="3"/>
        <v>0</v>
      </c>
      <c r="F37" s="11">
        <f t="shared" si="4"/>
        <v>0</v>
      </c>
      <c r="G37" s="12">
        <f t="shared" si="5"/>
        <v>0</v>
      </c>
      <c r="H37" s="11">
        <f t="shared" si="6"/>
        <v>0</v>
      </c>
      <c r="I37" s="11">
        <f t="shared" si="7"/>
        <v>0</v>
      </c>
      <c r="J37" s="12">
        <f t="shared" si="8"/>
        <v>0</v>
      </c>
      <c r="K37" s="11">
        <f t="shared" si="9"/>
        <v>0</v>
      </c>
      <c r="L37" s="12">
        <f t="shared" si="10"/>
        <v>0</v>
      </c>
      <c r="M37" s="12">
        <f t="shared" si="11"/>
        <v>0</v>
      </c>
      <c r="N37" s="11">
        <f t="shared" si="12"/>
        <v>0</v>
      </c>
      <c r="O37" s="12">
        <f t="shared" si="13"/>
        <v>0</v>
      </c>
      <c r="P37" s="11">
        <f t="shared" si="14"/>
        <v>0</v>
      </c>
      <c r="Q37" s="12">
        <f t="shared" si="15"/>
        <v>0</v>
      </c>
      <c r="R37" s="11">
        <f t="shared" si="16"/>
        <v>0</v>
      </c>
      <c r="S37" s="12">
        <f t="shared" si="17"/>
        <v>0</v>
      </c>
      <c r="T37" s="12">
        <f t="shared" si="18"/>
        <v>0</v>
      </c>
      <c r="U37" s="12">
        <f t="shared" si="19"/>
        <v>0</v>
      </c>
      <c r="V37" s="11">
        <f t="shared" si="20"/>
        <v>0</v>
      </c>
      <c r="W37" s="11">
        <f t="shared" si="21"/>
        <v>0</v>
      </c>
      <c r="X37" s="11">
        <f t="shared" si="22"/>
        <v>0</v>
      </c>
      <c r="Y37" s="11">
        <f t="shared" si="23"/>
        <v>0</v>
      </c>
      <c r="Z37" s="12">
        <f t="shared" si="24"/>
        <v>0</v>
      </c>
      <c r="AA37" s="11">
        <f t="shared" si="25"/>
        <v>0</v>
      </c>
      <c r="AB37" s="11">
        <f t="shared" si="26"/>
        <v>0</v>
      </c>
      <c r="AC37" s="11">
        <f t="shared" si="27"/>
        <v>0</v>
      </c>
      <c r="AD37" s="11">
        <f t="shared" si="28"/>
        <v>0</v>
      </c>
      <c r="AE37" s="13">
        <f t="shared" si="29"/>
        <v>0</v>
      </c>
      <c r="AF37" s="13">
        <f t="shared" si="30"/>
        <v>0</v>
      </c>
      <c r="AG37" s="11">
        <f t="shared" si="31"/>
        <v>0</v>
      </c>
      <c r="AH37" s="14" t="str">
        <f t="shared" si="33"/>
        <v>InvalidSymbolDetails</v>
      </c>
      <c r="AI37" s="12">
        <f t="shared" si="32"/>
        <v>0</v>
      </c>
    </row>
    <row r="38" spans="1:35" x14ac:dyDescent="0.25">
      <c r="A38" s="9"/>
      <c r="B38" s="9"/>
      <c r="C38" s="10" t="str">
        <f t="shared" si="1"/>
        <v/>
      </c>
      <c r="D38" s="11">
        <f t="shared" si="2"/>
        <v>0</v>
      </c>
      <c r="E38" s="11">
        <f t="shared" si="3"/>
        <v>0</v>
      </c>
      <c r="F38" s="11">
        <f t="shared" si="4"/>
        <v>0</v>
      </c>
      <c r="G38" s="12">
        <f t="shared" si="5"/>
        <v>0</v>
      </c>
      <c r="H38" s="11">
        <f t="shared" si="6"/>
        <v>0</v>
      </c>
      <c r="I38" s="11">
        <f t="shared" si="7"/>
        <v>0</v>
      </c>
      <c r="J38" s="12">
        <f t="shared" si="8"/>
        <v>0</v>
      </c>
      <c r="K38" s="11">
        <f t="shared" si="9"/>
        <v>0</v>
      </c>
      <c r="L38" s="12">
        <f t="shared" si="10"/>
        <v>0</v>
      </c>
      <c r="M38" s="12">
        <f t="shared" si="11"/>
        <v>0</v>
      </c>
      <c r="N38" s="11">
        <f t="shared" si="12"/>
        <v>0</v>
      </c>
      <c r="O38" s="12">
        <f t="shared" si="13"/>
        <v>0</v>
      </c>
      <c r="P38" s="11">
        <f t="shared" si="14"/>
        <v>0</v>
      </c>
      <c r="Q38" s="12">
        <f t="shared" si="15"/>
        <v>0</v>
      </c>
      <c r="R38" s="11">
        <f t="shared" si="16"/>
        <v>0</v>
      </c>
      <c r="S38" s="12">
        <f t="shared" si="17"/>
        <v>0</v>
      </c>
      <c r="T38" s="12">
        <f t="shared" si="18"/>
        <v>0</v>
      </c>
      <c r="U38" s="12">
        <f t="shared" si="19"/>
        <v>0</v>
      </c>
      <c r="V38" s="11">
        <f t="shared" si="20"/>
        <v>0</v>
      </c>
      <c r="W38" s="11">
        <f t="shared" si="21"/>
        <v>0</v>
      </c>
      <c r="X38" s="11">
        <f t="shared" si="22"/>
        <v>0</v>
      </c>
      <c r="Y38" s="11">
        <f t="shared" si="23"/>
        <v>0</v>
      </c>
      <c r="Z38" s="12">
        <f t="shared" si="24"/>
        <v>0</v>
      </c>
      <c r="AA38" s="11">
        <f t="shared" si="25"/>
        <v>0</v>
      </c>
      <c r="AB38" s="11">
        <f t="shared" si="26"/>
        <v>0</v>
      </c>
      <c r="AC38" s="11">
        <f t="shared" si="27"/>
        <v>0</v>
      </c>
      <c r="AD38" s="11">
        <f t="shared" si="28"/>
        <v>0</v>
      </c>
      <c r="AE38" s="13">
        <f t="shared" si="29"/>
        <v>0</v>
      </c>
      <c r="AF38" s="13">
        <f t="shared" si="30"/>
        <v>0</v>
      </c>
      <c r="AG38" s="11">
        <f t="shared" si="31"/>
        <v>0</v>
      </c>
      <c r="AH38" s="14" t="str">
        <f t="shared" si="33"/>
        <v>InvalidSymbolDetails</v>
      </c>
      <c r="AI38" s="12">
        <f t="shared" si="32"/>
        <v>0</v>
      </c>
    </row>
    <row r="39" spans="1:35" x14ac:dyDescent="0.25">
      <c r="A39" s="9"/>
      <c r="B39" s="9"/>
      <c r="C39" s="10" t="str">
        <f t="shared" si="1"/>
        <v/>
      </c>
      <c r="D39" s="11">
        <f t="shared" si="2"/>
        <v>0</v>
      </c>
      <c r="E39" s="11">
        <f t="shared" si="3"/>
        <v>0</v>
      </c>
      <c r="F39" s="11">
        <f t="shared" si="4"/>
        <v>0</v>
      </c>
      <c r="G39" s="12">
        <f t="shared" si="5"/>
        <v>0</v>
      </c>
      <c r="H39" s="11">
        <f t="shared" si="6"/>
        <v>0</v>
      </c>
      <c r="I39" s="11">
        <f t="shared" si="7"/>
        <v>0</v>
      </c>
      <c r="J39" s="12">
        <f t="shared" si="8"/>
        <v>0</v>
      </c>
      <c r="K39" s="11">
        <f t="shared" si="9"/>
        <v>0</v>
      </c>
      <c r="L39" s="12">
        <f t="shared" si="10"/>
        <v>0</v>
      </c>
      <c r="M39" s="12">
        <f t="shared" si="11"/>
        <v>0</v>
      </c>
      <c r="N39" s="11">
        <f t="shared" si="12"/>
        <v>0</v>
      </c>
      <c r="O39" s="12">
        <f t="shared" si="13"/>
        <v>0</v>
      </c>
      <c r="P39" s="11">
        <f t="shared" si="14"/>
        <v>0</v>
      </c>
      <c r="Q39" s="12">
        <f t="shared" si="15"/>
        <v>0</v>
      </c>
      <c r="R39" s="11">
        <f t="shared" si="16"/>
        <v>0</v>
      </c>
      <c r="S39" s="12">
        <f t="shared" si="17"/>
        <v>0</v>
      </c>
      <c r="T39" s="12">
        <f t="shared" si="18"/>
        <v>0</v>
      </c>
      <c r="U39" s="12">
        <f t="shared" si="19"/>
        <v>0</v>
      </c>
      <c r="V39" s="11">
        <f t="shared" si="20"/>
        <v>0</v>
      </c>
      <c r="W39" s="11">
        <f t="shared" si="21"/>
        <v>0</v>
      </c>
      <c r="X39" s="11">
        <f t="shared" si="22"/>
        <v>0</v>
      </c>
      <c r="Y39" s="11">
        <f t="shared" si="23"/>
        <v>0</v>
      </c>
      <c r="Z39" s="12">
        <f t="shared" si="24"/>
        <v>0</v>
      </c>
      <c r="AA39" s="11">
        <f t="shared" si="25"/>
        <v>0</v>
      </c>
      <c r="AB39" s="11">
        <f t="shared" si="26"/>
        <v>0</v>
      </c>
      <c r="AC39" s="11">
        <f t="shared" si="27"/>
        <v>0</v>
      </c>
      <c r="AD39" s="11">
        <f t="shared" si="28"/>
        <v>0</v>
      </c>
      <c r="AE39" s="13">
        <f t="shared" si="29"/>
        <v>0</v>
      </c>
      <c r="AF39" s="13">
        <f t="shared" si="30"/>
        <v>0</v>
      </c>
      <c r="AG39" s="11">
        <f t="shared" si="31"/>
        <v>0</v>
      </c>
      <c r="AH39" s="14" t="str">
        <f t="shared" si="33"/>
        <v>InvalidSymbolDetails</v>
      </c>
      <c r="AI39" s="12">
        <f t="shared" si="32"/>
        <v>0</v>
      </c>
    </row>
    <row r="40" spans="1:35" x14ac:dyDescent="0.25">
      <c r="A40" s="9"/>
      <c r="B40" s="9"/>
      <c r="C40" s="10" t="str">
        <f t="shared" si="1"/>
        <v/>
      </c>
      <c r="D40" s="11">
        <f t="shared" si="2"/>
        <v>0</v>
      </c>
      <c r="E40" s="11">
        <f t="shared" si="3"/>
        <v>0</v>
      </c>
      <c r="F40" s="11">
        <f t="shared" si="4"/>
        <v>0</v>
      </c>
      <c r="G40" s="12">
        <f t="shared" si="5"/>
        <v>0</v>
      </c>
      <c r="H40" s="11">
        <f t="shared" si="6"/>
        <v>0</v>
      </c>
      <c r="I40" s="11">
        <f t="shared" si="7"/>
        <v>0</v>
      </c>
      <c r="J40" s="12">
        <f t="shared" si="8"/>
        <v>0</v>
      </c>
      <c r="K40" s="11">
        <f t="shared" si="9"/>
        <v>0</v>
      </c>
      <c r="L40" s="12">
        <f t="shared" si="10"/>
        <v>0</v>
      </c>
      <c r="M40" s="12">
        <f t="shared" si="11"/>
        <v>0</v>
      </c>
      <c r="N40" s="11">
        <f t="shared" si="12"/>
        <v>0</v>
      </c>
      <c r="O40" s="12">
        <f t="shared" si="13"/>
        <v>0</v>
      </c>
      <c r="P40" s="11">
        <f t="shared" si="14"/>
        <v>0</v>
      </c>
      <c r="Q40" s="12">
        <f t="shared" si="15"/>
        <v>0</v>
      </c>
      <c r="R40" s="11">
        <f t="shared" si="16"/>
        <v>0</v>
      </c>
      <c r="S40" s="12">
        <f t="shared" si="17"/>
        <v>0</v>
      </c>
      <c r="T40" s="12">
        <f t="shared" si="18"/>
        <v>0</v>
      </c>
      <c r="U40" s="12">
        <f t="shared" si="19"/>
        <v>0</v>
      </c>
      <c r="V40" s="11">
        <f t="shared" si="20"/>
        <v>0</v>
      </c>
      <c r="W40" s="11">
        <f t="shared" si="21"/>
        <v>0</v>
      </c>
      <c r="X40" s="11">
        <f t="shared" si="22"/>
        <v>0</v>
      </c>
      <c r="Y40" s="11">
        <f t="shared" si="23"/>
        <v>0</v>
      </c>
      <c r="Z40" s="12">
        <f t="shared" si="24"/>
        <v>0</v>
      </c>
      <c r="AA40" s="11">
        <f t="shared" si="25"/>
        <v>0</v>
      </c>
      <c r="AB40" s="11">
        <f t="shared" si="26"/>
        <v>0</v>
      </c>
      <c r="AC40" s="11">
        <f t="shared" si="27"/>
        <v>0</v>
      </c>
      <c r="AD40" s="11">
        <f t="shared" si="28"/>
        <v>0</v>
      </c>
      <c r="AE40" s="13">
        <f t="shared" si="29"/>
        <v>0</v>
      </c>
      <c r="AF40" s="13">
        <f t="shared" si="30"/>
        <v>0</v>
      </c>
      <c r="AG40" s="11">
        <f t="shared" si="31"/>
        <v>0</v>
      </c>
      <c r="AH40" s="14" t="str">
        <f t="shared" si="33"/>
        <v>InvalidSymbolDetails</v>
      </c>
      <c r="AI40" s="12">
        <f t="shared" si="32"/>
        <v>0</v>
      </c>
    </row>
    <row r="41" spans="1:35" x14ac:dyDescent="0.25">
      <c r="A41" s="9"/>
      <c r="B41" s="9"/>
      <c r="C41" s="10" t="str">
        <f t="shared" si="1"/>
        <v/>
      </c>
      <c r="D41" s="11">
        <f t="shared" si="2"/>
        <v>0</v>
      </c>
      <c r="E41" s="11">
        <f t="shared" si="3"/>
        <v>0</v>
      </c>
      <c r="F41" s="11">
        <f t="shared" si="4"/>
        <v>0</v>
      </c>
      <c r="G41" s="12">
        <f t="shared" si="5"/>
        <v>0</v>
      </c>
      <c r="H41" s="11">
        <f t="shared" si="6"/>
        <v>0</v>
      </c>
      <c r="I41" s="11">
        <f t="shared" si="7"/>
        <v>0</v>
      </c>
      <c r="J41" s="12">
        <f t="shared" si="8"/>
        <v>0</v>
      </c>
      <c r="K41" s="11">
        <f t="shared" si="9"/>
        <v>0</v>
      </c>
      <c r="L41" s="12">
        <f t="shared" si="10"/>
        <v>0</v>
      </c>
      <c r="M41" s="12">
        <f t="shared" si="11"/>
        <v>0</v>
      </c>
      <c r="N41" s="11">
        <f t="shared" si="12"/>
        <v>0</v>
      </c>
      <c r="O41" s="12">
        <f t="shared" si="13"/>
        <v>0</v>
      </c>
      <c r="P41" s="11">
        <f t="shared" si="14"/>
        <v>0</v>
      </c>
      <c r="Q41" s="12">
        <f t="shared" si="15"/>
        <v>0</v>
      </c>
      <c r="R41" s="11">
        <f t="shared" si="16"/>
        <v>0</v>
      </c>
      <c r="S41" s="12">
        <f t="shared" si="17"/>
        <v>0</v>
      </c>
      <c r="T41" s="12">
        <f t="shared" si="18"/>
        <v>0</v>
      </c>
      <c r="U41" s="12">
        <f t="shared" si="19"/>
        <v>0</v>
      </c>
      <c r="V41" s="11">
        <f t="shared" si="20"/>
        <v>0</v>
      </c>
      <c r="W41" s="11">
        <f t="shared" si="21"/>
        <v>0</v>
      </c>
      <c r="X41" s="11">
        <f t="shared" si="22"/>
        <v>0</v>
      </c>
      <c r="Y41" s="11">
        <f t="shared" si="23"/>
        <v>0</v>
      </c>
      <c r="Z41" s="12">
        <f t="shared" si="24"/>
        <v>0</v>
      </c>
      <c r="AA41" s="11">
        <f t="shared" si="25"/>
        <v>0</v>
      </c>
      <c r="AB41" s="11">
        <f t="shared" si="26"/>
        <v>0</v>
      </c>
      <c r="AC41" s="11">
        <f t="shared" si="27"/>
        <v>0</v>
      </c>
      <c r="AD41" s="11">
        <f t="shared" si="28"/>
        <v>0</v>
      </c>
      <c r="AE41" s="13">
        <f t="shared" si="29"/>
        <v>0</v>
      </c>
      <c r="AF41" s="13">
        <f t="shared" si="30"/>
        <v>0</v>
      </c>
      <c r="AG41" s="11">
        <f t="shared" si="31"/>
        <v>0</v>
      </c>
      <c r="AH41" s="14" t="str">
        <f t="shared" si="33"/>
        <v>InvalidSymbolDetails</v>
      </c>
      <c r="AI41" s="12">
        <f t="shared" si="32"/>
        <v>0</v>
      </c>
    </row>
    <row r="42" spans="1:35" x14ac:dyDescent="0.25">
      <c r="A42" s="9"/>
      <c r="B42" s="9"/>
      <c r="C42" s="10" t="str">
        <f t="shared" si="1"/>
        <v/>
      </c>
      <c r="D42" s="11">
        <f t="shared" si="2"/>
        <v>0</v>
      </c>
      <c r="E42" s="11">
        <f t="shared" si="3"/>
        <v>0</v>
      </c>
      <c r="F42" s="11">
        <f t="shared" si="4"/>
        <v>0</v>
      </c>
      <c r="G42" s="12">
        <f t="shared" si="5"/>
        <v>0</v>
      </c>
      <c r="H42" s="11">
        <f t="shared" si="6"/>
        <v>0</v>
      </c>
      <c r="I42" s="11">
        <f t="shared" si="7"/>
        <v>0</v>
      </c>
      <c r="J42" s="12">
        <f t="shared" si="8"/>
        <v>0</v>
      </c>
      <c r="K42" s="11">
        <f t="shared" si="9"/>
        <v>0</v>
      </c>
      <c r="L42" s="12">
        <f t="shared" si="10"/>
        <v>0</v>
      </c>
      <c r="M42" s="12">
        <f t="shared" si="11"/>
        <v>0</v>
      </c>
      <c r="N42" s="11">
        <f t="shared" si="12"/>
        <v>0</v>
      </c>
      <c r="O42" s="12">
        <f t="shared" si="13"/>
        <v>0</v>
      </c>
      <c r="P42" s="11">
        <f t="shared" si="14"/>
        <v>0</v>
      </c>
      <c r="Q42" s="12">
        <f t="shared" si="15"/>
        <v>0</v>
      </c>
      <c r="R42" s="11">
        <f t="shared" si="16"/>
        <v>0</v>
      </c>
      <c r="S42" s="12">
        <f t="shared" si="17"/>
        <v>0</v>
      </c>
      <c r="T42" s="12">
        <f t="shared" si="18"/>
        <v>0</v>
      </c>
      <c r="U42" s="12">
        <f t="shared" si="19"/>
        <v>0</v>
      </c>
      <c r="V42" s="11">
        <f t="shared" si="20"/>
        <v>0</v>
      </c>
      <c r="W42" s="11">
        <f t="shared" si="21"/>
        <v>0</v>
      </c>
      <c r="X42" s="11">
        <f t="shared" si="22"/>
        <v>0</v>
      </c>
      <c r="Y42" s="11">
        <f t="shared" si="23"/>
        <v>0</v>
      </c>
      <c r="Z42" s="12">
        <f t="shared" si="24"/>
        <v>0</v>
      </c>
      <c r="AA42" s="11">
        <f t="shared" si="25"/>
        <v>0</v>
      </c>
      <c r="AB42" s="11">
        <f t="shared" si="26"/>
        <v>0</v>
      </c>
      <c r="AC42" s="11">
        <f t="shared" si="27"/>
        <v>0</v>
      </c>
      <c r="AD42" s="11">
        <f t="shared" si="28"/>
        <v>0</v>
      </c>
      <c r="AE42" s="13">
        <f t="shared" si="29"/>
        <v>0</v>
      </c>
      <c r="AF42" s="13">
        <f t="shared" si="30"/>
        <v>0</v>
      </c>
      <c r="AG42" s="11">
        <f t="shared" si="31"/>
        <v>0</v>
      </c>
      <c r="AH42" s="14" t="str">
        <f t="shared" si="33"/>
        <v>InvalidSymbolDetails</v>
      </c>
      <c r="AI42" s="12">
        <f t="shared" si="32"/>
        <v>0</v>
      </c>
    </row>
    <row r="43" spans="1:35" x14ac:dyDescent="0.25">
      <c r="A43" s="9"/>
      <c r="B43" s="9"/>
      <c r="C43" s="10" t="str">
        <f t="shared" si="1"/>
        <v/>
      </c>
      <c r="D43" s="11">
        <f t="shared" si="2"/>
        <v>0</v>
      </c>
      <c r="E43" s="11">
        <f t="shared" si="3"/>
        <v>0</v>
      </c>
      <c r="F43" s="11">
        <f t="shared" si="4"/>
        <v>0</v>
      </c>
      <c r="G43" s="12">
        <f t="shared" si="5"/>
        <v>0</v>
      </c>
      <c r="H43" s="11">
        <f t="shared" si="6"/>
        <v>0</v>
      </c>
      <c r="I43" s="11">
        <f t="shared" si="7"/>
        <v>0</v>
      </c>
      <c r="J43" s="12">
        <f t="shared" si="8"/>
        <v>0</v>
      </c>
      <c r="K43" s="11">
        <f t="shared" si="9"/>
        <v>0</v>
      </c>
      <c r="L43" s="12">
        <f t="shared" si="10"/>
        <v>0</v>
      </c>
      <c r="M43" s="12">
        <f t="shared" si="11"/>
        <v>0</v>
      </c>
      <c r="N43" s="11">
        <f t="shared" si="12"/>
        <v>0</v>
      </c>
      <c r="O43" s="12">
        <f t="shared" si="13"/>
        <v>0</v>
      </c>
      <c r="P43" s="11">
        <f t="shared" si="14"/>
        <v>0</v>
      </c>
      <c r="Q43" s="12">
        <f t="shared" si="15"/>
        <v>0</v>
      </c>
      <c r="R43" s="11">
        <f t="shared" si="16"/>
        <v>0</v>
      </c>
      <c r="S43" s="12">
        <f t="shared" si="17"/>
        <v>0</v>
      </c>
      <c r="T43" s="12">
        <f t="shared" si="18"/>
        <v>0</v>
      </c>
      <c r="U43" s="12">
        <f t="shared" si="19"/>
        <v>0</v>
      </c>
      <c r="V43" s="11">
        <f t="shared" si="20"/>
        <v>0</v>
      </c>
      <c r="W43" s="11">
        <f t="shared" si="21"/>
        <v>0</v>
      </c>
      <c r="X43" s="11">
        <f t="shared" si="22"/>
        <v>0</v>
      </c>
      <c r="Y43" s="11">
        <f t="shared" si="23"/>
        <v>0</v>
      </c>
      <c r="Z43" s="12">
        <f t="shared" si="24"/>
        <v>0</v>
      </c>
      <c r="AA43" s="11">
        <f t="shared" si="25"/>
        <v>0</v>
      </c>
      <c r="AB43" s="11">
        <f t="shared" si="26"/>
        <v>0</v>
      </c>
      <c r="AC43" s="11">
        <f t="shared" si="27"/>
        <v>0</v>
      </c>
      <c r="AD43" s="11">
        <f t="shared" si="28"/>
        <v>0</v>
      </c>
      <c r="AE43" s="13">
        <f t="shared" si="29"/>
        <v>0</v>
      </c>
      <c r="AF43" s="13">
        <f t="shared" si="30"/>
        <v>0</v>
      </c>
      <c r="AG43" s="11">
        <f t="shared" si="31"/>
        <v>0</v>
      </c>
      <c r="AH43" s="14" t="str">
        <f t="shared" si="33"/>
        <v>InvalidSymbolDetails</v>
      </c>
      <c r="AI43" s="12">
        <f t="shared" si="32"/>
        <v>0</v>
      </c>
    </row>
    <row r="44" spans="1:35" x14ac:dyDescent="0.25">
      <c r="A44" s="9"/>
      <c r="B44" s="9"/>
      <c r="C44" s="10" t="str">
        <f t="shared" si="1"/>
        <v/>
      </c>
      <c r="D44" s="11">
        <f t="shared" si="2"/>
        <v>0</v>
      </c>
      <c r="E44" s="11">
        <f t="shared" si="3"/>
        <v>0</v>
      </c>
      <c r="F44" s="11">
        <f t="shared" si="4"/>
        <v>0</v>
      </c>
      <c r="G44" s="12">
        <f t="shared" si="5"/>
        <v>0</v>
      </c>
      <c r="H44" s="11">
        <f t="shared" si="6"/>
        <v>0</v>
      </c>
      <c r="I44" s="11">
        <f t="shared" si="7"/>
        <v>0</v>
      </c>
      <c r="J44" s="12">
        <f t="shared" si="8"/>
        <v>0</v>
      </c>
      <c r="K44" s="11">
        <f t="shared" si="9"/>
        <v>0</v>
      </c>
      <c r="L44" s="12">
        <f t="shared" si="10"/>
        <v>0</v>
      </c>
      <c r="M44" s="12">
        <f t="shared" si="11"/>
        <v>0</v>
      </c>
      <c r="N44" s="11">
        <f t="shared" si="12"/>
        <v>0</v>
      </c>
      <c r="O44" s="12">
        <f t="shared" si="13"/>
        <v>0</v>
      </c>
      <c r="P44" s="11">
        <f t="shared" si="14"/>
        <v>0</v>
      </c>
      <c r="Q44" s="12">
        <f t="shared" si="15"/>
        <v>0</v>
      </c>
      <c r="R44" s="11">
        <f t="shared" si="16"/>
        <v>0</v>
      </c>
      <c r="S44" s="12">
        <f t="shared" si="17"/>
        <v>0</v>
      </c>
      <c r="T44" s="12">
        <f t="shared" si="18"/>
        <v>0</v>
      </c>
      <c r="U44" s="12">
        <f t="shared" si="19"/>
        <v>0</v>
      </c>
      <c r="V44" s="11">
        <f t="shared" si="20"/>
        <v>0</v>
      </c>
      <c r="W44" s="11">
        <f t="shared" si="21"/>
        <v>0</v>
      </c>
      <c r="X44" s="11">
        <f t="shared" si="22"/>
        <v>0</v>
      </c>
      <c r="Y44" s="11">
        <f t="shared" si="23"/>
        <v>0</v>
      </c>
      <c r="Z44" s="12">
        <f t="shared" si="24"/>
        <v>0</v>
      </c>
      <c r="AA44" s="11">
        <f t="shared" si="25"/>
        <v>0</v>
      </c>
      <c r="AB44" s="11">
        <f t="shared" si="26"/>
        <v>0</v>
      </c>
      <c r="AC44" s="11">
        <f t="shared" si="27"/>
        <v>0</v>
      </c>
      <c r="AD44" s="11">
        <f t="shared" si="28"/>
        <v>0</v>
      </c>
      <c r="AE44" s="13">
        <f t="shared" si="29"/>
        <v>0</v>
      </c>
      <c r="AF44" s="13">
        <f t="shared" si="30"/>
        <v>0</v>
      </c>
      <c r="AG44" s="11">
        <f t="shared" si="31"/>
        <v>0</v>
      </c>
      <c r="AH44" s="14" t="str">
        <f t="shared" si="33"/>
        <v>InvalidSymbolDetails</v>
      </c>
      <c r="AI44" s="12">
        <f t="shared" si="32"/>
        <v>0</v>
      </c>
    </row>
    <row r="45" spans="1:35" x14ac:dyDescent="0.25">
      <c r="A45" s="9"/>
      <c r="B45" s="9"/>
      <c r="C45" s="10" t="str">
        <f t="shared" si="1"/>
        <v/>
      </c>
      <c r="D45" s="11">
        <f t="shared" si="2"/>
        <v>0</v>
      </c>
      <c r="E45" s="11">
        <f t="shared" si="3"/>
        <v>0</v>
      </c>
      <c r="F45" s="11">
        <f t="shared" si="4"/>
        <v>0</v>
      </c>
      <c r="G45" s="12">
        <f t="shared" si="5"/>
        <v>0</v>
      </c>
      <c r="H45" s="11">
        <f t="shared" si="6"/>
        <v>0</v>
      </c>
      <c r="I45" s="11">
        <f t="shared" si="7"/>
        <v>0</v>
      </c>
      <c r="J45" s="12">
        <f t="shared" si="8"/>
        <v>0</v>
      </c>
      <c r="K45" s="11">
        <f t="shared" si="9"/>
        <v>0</v>
      </c>
      <c r="L45" s="12">
        <f t="shared" si="10"/>
        <v>0</v>
      </c>
      <c r="M45" s="12">
        <f t="shared" si="11"/>
        <v>0</v>
      </c>
      <c r="N45" s="11">
        <f t="shared" si="12"/>
        <v>0</v>
      </c>
      <c r="O45" s="12">
        <f t="shared" si="13"/>
        <v>0</v>
      </c>
      <c r="P45" s="11">
        <f t="shared" si="14"/>
        <v>0</v>
      </c>
      <c r="Q45" s="12">
        <f t="shared" si="15"/>
        <v>0</v>
      </c>
      <c r="R45" s="11">
        <f t="shared" si="16"/>
        <v>0</v>
      </c>
      <c r="S45" s="12">
        <f t="shared" si="17"/>
        <v>0</v>
      </c>
      <c r="T45" s="12">
        <f t="shared" si="18"/>
        <v>0</v>
      </c>
      <c r="U45" s="12">
        <f t="shared" si="19"/>
        <v>0</v>
      </c>
      <c r="V45" s="11">
        <f t="shared" si="20"/>
        <v>0</v>
      </c>
      <c r="W45" s="11">
        <f t="shared" si="21"/>
        <v>0</v>
      </c>
      <c r="X45" s="11">
        <f t="shared" si="22"/>
        <v>0</v>
      </c>
      <c r="Y45" s="11">
        <f t="shared" si="23"/>
        <v>0</v>
      </c>
      <c r="Z45" s="12">
        <f t="shared" si="24"/>
        <v>0</v>
      </c>
      <c r="AA45" s="11">
        <f t="shared" si="25"/>
        <v>0</v>
      </c>
      <c r="AB45" s="11">
        <f t="shared" si="26"/>
        <v>0</v>
      </c>
      <c r="AC45" s="11">
        <f t="shared" si="27"/>
        <v>0</v>
      </c>
      <c r="AD45" s="11">
        <f t="shared" si="28"/>
        <v>0</v>
      </c>
      <c r="AE45" s="13">
        <f t="shared" si="29"/>
        <v>0</v>
      </c>
      <c r="AF45" s="13">
        <f t="shared" si="30"/>
        <v>0</v>
      </c>
      <c r="AG45" s="11">
        <f t="shared" si="31"/>
        <v>0</v>
      </c>
      <c r="AH45" s="14" t="str">
        <f t="shared" si="33"/>
        <v>InvalidSymbolDetails</v>
      </c>
      <c r="AI45" s="12">
        <f t="shared" si="32"/>
        <v>0</v>
      </c>
    </row>
    <row r="46" spans="1:35" x14ac:dyDescent="0.25">
      <c r="A46" s="9"/>
      <c r="B46" s="9"/>
      <c r="C46" s="10" t="str">
        <f t="shared" si="1"/>
        <v/>
      </c>
      <c r="D46" s="11">
        <f t="shared" si="2"/>
        <v>0</v>
      </c>
      <c r="E46" s="11">
        <f t="shared" si="3"/>
        <v>0</v>
      </c>
      <c r="F46" s="11">
        <f t="shared" si="4"/>
        <v>0</v>
      </c>
      <c r="G46" s="12">
        <f t="shared" si="5"/>
        <v>0</v>
      </c>
      <c r="H46" s="11">
        <f t="shared" si="6"/>
        <v>0</v>
      </c>
      <c r="I46" s="11">
        <f t="shared" si="7"/>
        <v>0</v>
      </c>
      <c r="J46" s="12">
        <f t="shared" si="8"/>
        <v>0</v>
      </c>
      <c r="K46" s="11">
        <f t="shared" si="9"/>
        <v>0</v>
      </c>
      <c r="L46" s="12">
        <f t="shared" si="10"/>
        <v>0</v>
      </c>
      <c r="M46" s="12">
        <f t="shared" si="11"/>
        <v>0</v>
      </c>
      <c r="N46" s="11">
        <f t="shared" si="12"/>
        <v>0</v>
      </c>
      <c r="O46" s="12">
        <f t="shared" si="13"/>
        <v>0</v>
      </c>
      <c r="P46" s="11">
        <f t="shared" si="14"/>
        <v>0</v>
      </c>
      <c r="Q46" s="12">
        <f t="shared" si="15"/>
        <v>0</v>
      </c>
      <c r="R46" s="11">
        <f t="shared" si="16"/>
        <v>0</v>
      </c>
      <c r="S46" s="12">
        <f t="shared" si="17"/>
        <v>0</v>
      </c>
      <c r="T46" s="12">
        <f t="shared" si="18"/>
        <v>0</v>
      </c>
      <c r="U46" s="12">
        <f t="shared" si="19"/>
        <v>0</v>
      </c>
      <c r="V46" s="11">
        <f t="shared" si="20"/>
        <v>0</v>
      </c>
      <c r="W46" s="11">
        <f t="shared" si="21"/>
        <v>0</v>
      </c>
      <c r="X46" s="11">
        <f t="shared" si="22"/>
        <v>0</v>
      </c>
      <c r="Y46" s="11">
        <f t="shared" si="23"/>
        <v>0</v>
      </c>
      <c r="Z46" s="12">
        <f t="shared" si="24"/>
        <v>0</v>
      </c>
      <c r="AA46" s="11">
        <f t="shared" si="25"/>
        <v>0</v>
      </c>
      <c r="AB46" s="11">
        <f t="shared" si="26"/>
        <v>0</v>
      </c>
      <c r="AC46" s="11">
        <f t="shared" si="27"/>
        <v>0</v>
      </c>
      <c r="AD46" s="11">
        <f t="shared" si="28"/>
        <v>0</v>
      </c>
      <c r="AE46" s="13">
        <f t="shared" si="29"/>
        <v>0</v>
      </c>
      <c r="AF46" s="13">
        <f t="shared" si="30"/>
        <v>0</v>
      </c>
      <c r="AG46" s="11">
        <f t="shared" si="31"/>
        <v>0</v>
      </c>
      <c r="AH46" s="14" t="str">
        <f t="shared" si="33"/>
        <v>InvalidSymbolDetails</v>
      </c>
      <c r="AI46" s="12">
        <f t="shared" si="32"/>
        <v>0</v>
      </c>
    </row>
    <row r="47" spans="1:35" x14ac:dyDescent="0.25">
      <c r="A47" s="9"/>
      <c r="B47" s="9"/>
      <c r="C47" s="10" t="str">
        <f t="shared" si="1"/>
        <v/>
      </c>
      <c r="D47" s="11">
        <f t="shared" si="2"/>
        <v>0</v>
      </c>
      <c r="E47" s="11">
        <f t="shared" si="3"/>
        <v>0</v>
      </c>
      <c r="F47" s="11">
        <f t="shared" si="4"/>
        <v>0</v>
      </c>
      <c r="G47" s="12">
        <f t="shared" si="5"/>
        <v>0</v>
      </c>
      <c r="H47" s="11">
        <f t="shared" si="6"/>
        <v>0</v>
      </c>
      <c r="I47" s="11">
        <f t="shared" si="7"/>
        <v>0</v>
      </c>
      <c r="J47" s="12">
        <f t="shared" si="8"/>
        <v>0</v>
      </c>
      <c r="K47" s="11">
        <f t="shared" si="9"/>
        <v>0</v>
      </c>
      <c r="L47" s="12">
        <f t="shared" si="10"/>
        <v>0</v>
      </c>
      <c r="M47" s="12">
        <f t="shared" si="11"/>
        <v>0</v>
      </c>
      <c r="N47" s="11">
        <f t="shared" si="12"/>
        <v>0</v>
      </c>
      <c r="O47" s="12">
        <f t="shared" si="13"/>
        <v>0</v>
      </c>
      <c r="P47" s="11">
        <f t="shared" si="14"/>
        <v>0</v>
      </c>
      <c r="Q47" s="12">
        <f t="shared" si="15"/>
        <v>0</v>
      </c>
      <c r="R47" s="11">
        <f t="shared" si="16"/>
        <v>0</v>
      </c>
      <c r="S47" s="12">
        <f t="shared" si="17"/>
        <v>0</v>
      </c>
      <c r="T47" s="12">
        <f t="shared" si="18"/>
        <v>0</v>
      </c>
      <c r="U47" s="12">
        <f t="shared" si="19"/>
        <v>0</v>
      </c>
      <c r="V47" s="11">
        <f t="shared" si="20"/>
        <v>0</v>
      </c>
      <c r="W47" s="11">
        <f t="shared" si="21"/>
        <v>0</v>
      </c>
      <c r="X47" s="11">
        <f t="shared" si="22"/>
        <v>0</v>
      </c>
      <c r="Y47" s="11">
        <f t="shared" si="23"/>
        <v>0</v>
      </c>
      <c r="Z47" s="12">
        <f t="shared" si="24"/>
        <v>0</v>
      </c>
      <c r="AA47" s="11">
        <f t="shared" si="25"/>
        <v>0</v>
      </c>
      <c r="AB47" s="11">
        <f t="shared" si="26"/>
        <v>0</v>
      </c>
      <c r="AC47" s="11">
        <f t="shared" si="27"/>
        <v>0</v>
      </c>
      <c r="AD47" s="11">
        <f t="shared" si="28"/>
        <v>0</v>
      </c>
      <c r="AE47" s="13">
        <f t="shared" si="29"/>
        <v>0</v>
      </c>
      <c r="AF47" s="13">
        <f t="shared" si="30"/>
        <v>0</v>
      </c>
      <c r="AG47" s="11">
        <f t="shared" si="31"/>
        <v>0</v>
      </c>
      <c r="AH47" s="14" t="str">
        <f t="shared" si="33"/>
        <v>InvalidSymbolDetails</v>
      </c>
      <c r="AI47" s="12">
        <f t="shared" si="32"/>
        <v>0</v>
      </c>
    </row>
    <row r="48" spans="1:35" x14ac:dyDescent="0.25">
      <c r="A48" s="9"/>
      <c r="B48" s="9"/>
      <c r="C48" s="10" t="str">
        <f t="shared" si="1"/>
        <v/>
      </c>
      <c r="D48" s="11">
        <f t="shared" si="2"/>
        <v>0</v>
      </c>
      <c r="E48" s="11">
        <f t="shared" si="3"/>
        <v>0</v>
      </c>
      <c r="F48" s="11">
        <f t="shared" si="4"/>
        <v>0</v>
      </c>
      <c r="G48" s="12">
        <f t="shared" si="5"/>
        <v>0</v>
      </c>
      <c r="H48" s="11">
        <f t="shared" si="6"/>
        <v>0</v>
      </c>
      <c r="I48" s="11">
        <f t="shared" si="7"/>
        <v>0</v>
      </c>
      <c r="J48" s="12">
        <f t="shared" si="8"/>
        <v>0</v>
      </c>
      <c r="K48" s="11">
        <f t="shared" si="9"/>
        <v>0</v>
      </c>
      <c r="L48" s="12">
        <f t="shared" si="10"/>
        <v>0</v>
      </c>
      <c r="M48" s="12">
        <f t="shared" si="11"/>
        <v>0</v>
      </c>
      <c r="N48" s="11">
        <f t="shared" si="12"/>
        <v>0</v>
      </c>
      <c r="O48" s="12">
        <f t="shared" si="13"/>
        <v>0</v>
      </c>
      <c r="P48" s="11">
        <f t="shared" si="14"/>
        <v>0</v>
      </c>
      <c r="Q48" s="12">
        <f t="shared" si="15"/>
        <v>0</v>
      </c>
      <c r="R48" s="11">
        <f t="shared" si="16"/>
        <v>0</v>
      </c>
      <c r="S48" s="12">
        <f t="shared" si="17"/>
        <v>0</v>
      </c>
      <c r="T48" s="12">
        <f t="shared" si="18"/>
        <v>0</v>
      </c>
      <c r="U48" s="12">
        <f t="shared" si="19"/>
        <v>0</v>
      </c>
      <c r="V48" s="11">
        <f t="shared" si="20"/>
        <v>0</v>
      </c>
      <c r="W48" s="11">
        <f t="shared" si="21"/>
        <v>0</v>
      </c>
      <c r="X48" s="11">
        <f t="shared" si="22"/>
        <v>0</v>
      </c>
      <c r="Y48" s="11">
        <f t="shared" si="23"/>
        <v>0</v>
      </c>
      <c r="Z48" s="12">
        <f t="shared" si="24"/>
        <v>0</v>
      </c>
      <c r="AA48" s="11">
        <f t="shared" si="25"/>
        <v>0</v>
      </c>
      <c r="AB48" s="11">
        <f t="shared" si="26"/>
        <v>0</v>
      </c>
      <c r="AC48" s="11">
        <f t="shared" si="27"/>
        <v>0</v>
      </c>
      <c r="AD48" s="11">
        <f t="shared" si="28"/>
        <v>0</v>
      </c>
      <c r="AE48" s="13">
        <f t="shared" si="29"/>
        <v>0</v>
      </c>
      <c r="AF48" s="13">
        <f t="shared" si="30"/>
        <v>0</v>
      </c>
      <c r="AG48" s="11">
        <f t="shared" si="31"/>
        <v>0</v>
      </c>
      <c r="AH48" s="14" t="str">
        <f t="shared" si="33"/>
        <v>InvalidSymbolDetails</v>
      </c>
      <c r="AI48" s="12">
        <f t="shared" si="32"/>
        <v>0</v>
      </c>
    </row>
    <row r="49" spans="1:35" x14ac:dyDescent="0.25">
      <c r="A49" s="9"/>
      <c r="B49" s="9"/>
      <c r="C49" s="10" t="str">
        <f t="shared" si="1"/>
        <v/>
      </c>
      <c r="D49" s="11">
        <f t="shared" si="2"/>
        <v>0</v>
      </c>
      <c r="E49" s="11">
        <f t="shared" si="3"/>
        <v>0</v>
      </c>
      <c r="F49" s="11">
        <f t="shared" si="4"/>
        <v>0</v>
      </c>
      <c r="G49" s="12">
        <f t="shared" si="5"/>
        <v>0</v>
      </c>
      <c r="H49" s="11">
        <f t="shared" si="6"/>
        <v>0</v>
      </c>
      <c r="I49" s="11">
        <f t="shared" si="7"/>
        <v>0</v>
      </c>
      <c r="J49" s="12">
        <f t="shared" si="8"/>
        <v>0</v>
      </c>
      <c r="K49" s="11">
        <f t="shared" si="9"/>
        <v>0</v>
      </c>
      <c r="L49" s="12">
        <f t="shared" si="10"/>
        <v>0</v>
      </c>
      <c r="M49" s="12">
        <f t="shared" si="11"/>
        <v>0</v>
      </c>
      <c r="N49" s="11">
        <f t="shared" si="12"/>
        <v>0</v>
      </c>
      <c r="O49" s="12">
        <f t="shared" si="13"/>
        <v>0</v>
      </c>
      <c r="P49" s="11">
        <f t="shared" si="14"/>
        <v>0</v>
      </c>
      <c r="Q49" s="12">
        <f t="shared" si="15"/>
        <v>0</v>
      </c>
      <c r="R49" s="11">
        <f t="shared" si="16"/>
        <v>0</v>
      </c>
      <c r="S49" s="12">
        <f t="shared" si="17"/>
        <v>0</v>
      </c>
      <c r="T49" s="12">
        <f t="shared" si="18"/>
        <v>0</v>
      </c>
      <c r="U49" s="12">
        <f t="shared" si="19"/>
        <v>0</v>
      </c>
      <c r="V49" s="11">
        <f t="shared" si="20"/>
        <v>0</v>
      </c>
      <c r="W49" s="11">
        <f t="shared" si="21"/>
        <v>0</v>
      </c>
      <c r="X49" s="11">
        <f t="shared" si="22"/>
        <v>0</v>
      </c>
      <c r="Y49" s="11">
        <f t="shared" si="23"/>
        <v>0</v>
      </c>
      <c r="Z49" s="12">
        <f t="shared" si="24"/>
        <v>0</v>
      </c>
      <c r="AA49" s="11">
        <f t="shared" si="25"/>
        <v>0</v>
      </c>
      <c r="AB49" s="11">
        <f t="shared" si="26"/>
        <v>0</v>
      </c>
      <c r="AC49" s="11">
        <f t="shared" si="27"/>
        <v>0</v>
      </c>
      <c r="AD49" s="11">
        <f t="shared" si="28"/>
        <v>0</v>
      </c>
      <c r="AE49" s="13">
        <f t="shared" si="29"/>
        <v>0</v>
      </c>
      <c r="AF49" s="13">
        <f t="shared" si="30"/>
        <v>0</v>
      </c>
      <c r="AG49" s="11">
        <f t="shared" si="31"/>
        <v>0</v>
      </c>
      <c r="AH49" s="14" t="str">
        <f t="shared" si="33"/>
        <v>InvalidSymbolDetails</v>
      </c>
      <c r="AI49" s="12">
        <f t="shared" si="32"/>
        <v>0</v>
      </c>
    </row>
    <row r="50" spans="1:35" x14ac:dyDescent="0.25">
      <c r="A50" s="9"/>
      <c r="B50" s="9"/>
      <c r="C50" s="10" t="str">
        <f t="shared" si="1"/>
        <v/>
      </c>
      <c r="D50" s="11">
        <f t="shared" si="2"/>
        <v>0</v>
      </c>
      <c r="E50" s="11">
        <f t="shared" si="3"/>
        <v>0</v>
      </c>
      <c r="F50" s="11">
        <f t="shared" si="4"/>
        <v>0</v>
      </c>
      <c r="G50" s="12">
        <f t="shared" si="5"/>
        <v>0</v>
      </c>
      <c r="H50" s="11">
        <f t="shared" si="6"/>
        <v>0</v>
      </c>
      <c r="I50" s="11">
        <f t="shared" si="7"/>
        <v>0</v>
      </c>
      <c r="J50" s="12">
        <f t="shared" si="8"/>
        <v>0</v>
      </c>
      <c r="K50" s="11">
        <f t="shared" si="9"/>
        <v>0</v>
      </c>
      <c r="L50" s="12">
        <f t="shared" si="10"/>
        <v>0</v>
      </c>
      <c r="M50" s="12">
        <f t="shared" si="11"/>
        <v>0</v>
      </c>
      <c r="N50" s="11">
        <f t="shared" si="12"/>
        <v>0</v>
      </c>
      <c r="O50" s="12">
        <f t="shared" si="13"/>
        <v>0</v>
      </c>
      <c r="P50" s="11">
        <f t="shared" si="14"/>
        <v>0</v>
      </c>
      <c r="Q50" s="12">
        <f t="shared" si="15"/>
        <v>0</v>
      </c>
      <c r="R50" s="11">
        <f t="shared" si="16"/>
        <v>0</v>
      </c>
      <c r="S50" s="12">
        <f t="shared" si="17"/>
        <v>0</v>
      </c>
      <c r="T50" s="12">
        <f t="shared" si="18"/>
        <v>0</v>
      </c>
      <c r="U50" s="12">
        <f t="shared" si="19"/>
        <v>0</v>
      </c>
      <c r="V50" s="11">
        <f t="shared" si="20"/>
        <v>0</v>
      </c>
      <c r="W50" s="11">
        <f t="shared" si="21"/>
        <v>0</v>
      </c>
      <c r="X50" s="11">
        <f t="shared" si="22"/>
        <v>0</v>
      </c>
      <c r="Y50" s="11">
        <f t="shared" si="23"/>
        <v>0</v>
      </c>
      <c r="Z50" s="12">
        <f t="shared" si="24"/>
        <v>0</v>
      </c>
      <c r="AA50" s="11">
        <f t="shared" si="25"/>
        <v>0</v>
      </c>
      <c r="AB50" s="11">
        <f t="shared" si="26"/>
        <v>0</v>
      </c>
      <c r="AC50" s="11">
        <f t="shared" si="27"/>
        <v>0</v>
      </c>
      <c r="AD50" s="11">
        <f t="shared" si="28"/>
        <v>0</v>
      </c>
      <c r="AE50" s="13">
        <f t="shared" si="29"/>
        <v>0</v>
      </c>
      <c r="AF50" s="13">
        <f t="shared" si="30"/>
        <v>0</v>
      </c>
      <c r="AG50" s="11">
        <f t="shared" si="31"/>
        <v>0</v>
      </c>
      <c r="AH50" s="14" t="str">
        <f t="shared" si="33"/>
        <v>InvalidSymbolDetails</v>
      </c>
      <c r="AI50" s="12">
        <f t="shared" si="32"/>
        <v>0</v>
      </c>
    </row>
    <row r="51" spans="1:35" x14ac:dyDescent="0.25">
      <c r="A51" s="9"/>
      <c r="B51" s="9"/>
      <c r="C51" s="10" t="str">
        <f t="shared" si="1"/>
        <v/>
      </c>
      <c r="D51" s="11">
        <f t="shared" si="2"/>
        <v>0</v>
      </c>
      <c r="E51" s="11">
        <f t="shared" si="3"/>
        <v>0</v>
      </c>
      <c r="F51" s="11">
        <f t="shared" si="4"/>
        <v>0</v>
      </c>
      <c r="G51" s="12">
        <f t="shared" si="5"/>
        <v>0</v>
      </c>
      <c r="H51" s="11">
        <f t="shared" si="6"/>
        <v>0</v>
      </c>
      <c r="I51" s="11">
        <f t="shared" si="7"/>
        <v>0</v>
      </c>
      <c r="J51" s="12">
        <f t="shared" si="8"/>
        <v>0</v>
      </c>
      <c r="K51" s="11">
        <f t="shared" si="9"/>
        <v>0</v>
      </c>
      <c r="L51" s="12">
        <f t="shared" si="10"/>
        <v>0</v>
      </c>
      <c r="M51" s="12">
        <f t="shared" si="11"/>
        <v>0</v>
      </c>
      <c r="N51" s="11">
        <f t="shared" si="12"/>
        <v>0</v>
      </c>
      <c r="O51" s="12">
        <f t="shared" si="13"/>
        <v>0</v>
      </c>
      <c r="P51" s="11">
        <f t="shared" si="14"/>
        <v>0</v>
      </c>
      <c r="Q51" s="12">
        <f t="shared" si="15"/>
        <v>0</v>
      </c>
      <c r="R51" s="11">
        <f t="shared" si="16"/>
        <v>0</v>
      </c>
      <c r="S51" s="12">
        <f t="shared" si="17"/>
        <v>0</v>
      </c>
      <c r="T51" s="12">
        <f t="shared" si="18"/>
        <v>0</v>
      </c>
      <c r="U51" s="12">
        <f t="shared" si="19"/>
        <v>0</v>
      </c>
      <c r="V51" s="11">
        <f t="shared" si="20"/>
        <v>0</v>
      </c>
      <c r="W51" s="11">
        <f t="shared" si="21"/>
        <v>0</v>
      </c>
      <c r="X51" s="11">
        <f t="shared" si="22"/>
        <v>0</v>
      </c>
      <c r="Y51" s="11">
        <f t="shared" si="23"/>
        <v>0</v>
      </c>
      <c r="Z51" s="12">
        <f t="shared" si="24"/>
        <v>0</v>
      </c>
      <c r="AA51" s="11">
        <f t="shared" si="25"/>
        <v>0</v>
      </c>
      <c r="AB51" s="11">
        <f t="shared" si="26"/>
        <v>0</v>
      </c>
      <c r="AC51" s="11">
        <f t="shared" si="27"/>
        <v>0</v>
      </c>
      <c r="AD51" s="11">
        <f t="shared" si="28"/>
        <v>0</v>
      </c>
      <c r="AE51" s="13">
        <f t="shared" si="29"/>
        <v>0</v>
      </c>
      <c r="AF51" s="13">
        <f t="shared" si="30"/>
        <v>0</v>
      </c>
      <c r="AG51" s="11">
        <f t="shared" si="31"/>
        <v>0</v>
      </c>
      <c r="AH51" s="14" t="str">
        <f t="shared" si="33"/>
        <v>InvalidSymbolDetails</v>
      </c>
      <c r="AI51" s="12">
        <f t="shared" si="32"/>
        <v>0</v>
      </c>
    </row>
    <row r="52" spans="1:35" x14ac:dyDescent="0.25">
      <c r="A52" s="9"/>
      <c r="B52" s="9"/>
      <c r="C52" s="10" t="str">
        <f t="shared" si="1"/>
        <v/>
      </c>
      <c r="D52" s="11">
        <f t="shared" si="2"/>
        <v>0</v>
      </c>
      <c r="E52" s="11">
        <f t="shared" si="3"/>
        <v>0</v>
      </c>
      <c r="F52" s="11">
        <f t="shared" si="4"/>
        <v>0</v>
      </c>
      <c r="G52" s="12">
        <f t="shared" si="5"/>
        <v>0</v>
      </c>
      <c r="H52" s="11">
        <f t="shared" si="6"/>
        <v>0</v>
      </c>
      <c r="I52" s="11">
        <f t="shared" si="7"/>
        <v>0</v>
      </c>
      <c r="J52" s="12">
        <f t="shared" si="8"/>
        <v>0</v>
      </c>
      <c r="K52" s="11">
        <f t="shared" si="9"/>
        <v>0</v>
      </c>
      <c r="L52" s="12">
        <f t="shared" si="10"/>
        <v>0</v>
      </c>
      <c r="M52" s="12">
        <f t="shared" si="11"/>
        <v>0</v>
      </c>
      <c r="N52" s="11">
        <f t="shared" si="12"/>
        <v>0</v>
      </c>
      <c r="O52" s="12">
        <f t="shared" si="13"/>
        <v>0</v>
      </c>
      <c r="P52" s="11">
        <f t="shared" si="14"/>
        <v>0</v>
      </c>
      <c r="Q52" s="12">
        <f t="shared" si="15"/>
        <v>0</v>
      </c>
      <c r="R52" s="11">
        <f t="shared" si="16"/>
        <v>0</v>
      </c>
      <c r="S52" s="12">
        <f t="shared" si="17"/>
        <v>0</v>
      </c>
      <c r="T52" s="12">
        <f t="shared" si="18"/>
        <v>0</v>
      </c>
      <c r="U52" s="12">
        <f t="shared" si="19"/>
        <v>0</v>
      </c>
      <c r="V52" s="11">
        <f t="shared" si="20"/>
        <v>0</v>
      </c>
      <c r="W52" s="11">
        <f t="shared" si="21"/>
        <v>0</v>
      </c>
      <c r="X52" s="11">
        <f t="shared" si="22"/>
        <v>0</v>
      </c>
      <c r="Y52" s="11">
        <f t="shared" si="23"/>
        <v>0</v>
      </c>
      <c r="Z52" s="12">
        <f t="shared" si="24"/>
        <v>0</v>
      </c>
      <c r="AA52" s="11">
        <f t="shared" si="25"/>
        <v>0</v>
      </c>
      <c r="AB52" s="11">
        <f t="shared" si="26"/>
        <v>0</v>
      </c>
      <c r="AC52" s="11">
        <f t="shared" si="27"/>
        <v>0</v>
      </c>
      <c r="AD52" s="11">
        <f t="shared" si="28"/>
        <v>0</v>
      </c>
      <c r="AE52" s="13">
        <f t="shared" si="29"/>
        <v>0</v>
      </c>
      <c r="AF52" s="13">
        <f t="shared" si="30"/>
        <v>0</v>
      </c>
      <c r="AG52" s="11">
        <f t="shared" si="31"/>
        <v>0</v>
      </c>
      <c r="AH52" s="14" t="str">
        <f t="shared" si="33"/>
        <v>InvalidSymbolDetails</v>
      </c>
      <c r="AI52" s="12">
        <f t="shared" si="32"/>
        <v>0</v>
      </c>
    </row>
    <row r="53" spans="1:35" x14ac:dyDescent="0.25">
      <c r="A53" s="9"/>
      <c r="B53" s="9"/>
      <c r="C53" s="10" t="str">
        <f t="shared" si="1"/>
        <v/>
      </c>
      <c r="D53" s="11">
        <f t="shared" si="2"/>
        <v>0</v>
      </c>
      <c r="E53" s="11">
        <f t="shared" si="3"/>
        <v>0</v>
      </c>
      <c r="F53" s="11">
        <f t="shared" si="4"/>
        <v>0</v>
      </c>
      <c r="G53" s="12">
        <f t="shared" si="5"/>
        <v>0</v>
      </c>
      <c r="H53" s="11">
        <f t="shared" si="6"/>
        <v>0</v>
      </c>
      <c r="I53" s="11">
        <f t="shared" si="7"/>
        <v>0</v>
      </c>
      <c r="J53" s="12">
        <f t="shared" si="8"/>
        <v>0</v>
      </c>
      <c r="K53" s="11">
        <f t="shared" si="9"/>
        <v>0</v>
      </c>
      <c r="L53" s="12">
        <f t="shared" si="10"/>
        <v>0</v>
      </c>
      <c r="M53" s="12">
        <f t="shared" si="11"/>
        <v>0</v>
      </c>
      <c r="N53" s="11">
        <f t="shared" si="12"/>
        <v>0</v>
      </c>
      <c r="O53" s="12">
        <f t="shared" si="13"/>
        <v>0</v>
      </c>
      <c r="P53" s="11">
        <f t="shared" si="14"/>
        <v>0</v>
      </c>
      <c r="Q53" s="12">
        <f t="shared" si="15"/>
        <v>0</v>
      </c>
      <c r="R53" s="11">
        <f t="shared" si="16"/>
        <v>0</v>
      </c>
      <c r="S53" s="12">
        <f t="shared" si="17"/>
        <v>0</v>
      </c>
      <c r="T53" s="12">
        <f t="shared" si="18"/>
        <v>0</v>
      </c>
      <c r="U53" s="12">
        <f t="shared" si="19"/>
        <v>0</v>
      </c>
      <c r="V53" s="11">
        <f t="shared" si="20"/>
        <v>0</v>
      </c>
      <c r="W53" s="11">
        <f t="shared" si="21"/>
        <v>0</v>
      </c>
      <c r="X53" s="11">
        <f t="shared" si="22"/>
        <v>0</v>
      </c>
      <c r="Y53" s="11">
        <f t="shared" si="23"/>
        <v>0</v>
      </c>
      <c r="Z53" s="12">
        <f t="shared" si="24"/>
        <v>0</v>
      </c>
      <c r="AA53" s="11">
        <f t="shared" si="25"/>
        <v>0</v>
      </c>
      <c r="AB53" s="11">
        <f t="shared" si="26"/>
        <v>0</v>
      </c>
      <c r="AC53" s="11">
        <f t="shared" si="27"/>
        <v>0</v>
      </c>
      <c r="AD53" s="11">
        <f t="shared" si="28"/>
        <v>0</v>
      </c>
      <c r="AE53" s="13">
        <f t="shared" si="29"/>
        <v>0</v>
      </c>
      <c r="AF53" s="13">
        <f t="shared" si="30"/>
        <v>0</v>
      </c>
      <c r="AG53" s="11">
        <f t="shared" si="31"/>
        <v>0</v>
      </c>
      <c r="AH53" s="14" t="str">
        <f t="shared" si="33"/>
        <v>InvalidSymbolDetails</v>
      </c>
      <c r="AI53" s="12">
        <f t="shared" si="32"/>
        <v>0</v>
      </c>
    </row>
    <row r="54" spans="1:35" x14ac:dyDescent="0.25">
      <c r="A54" s="9"/>
      <c r="B54" s="9"/>
      <c r="C54" s="10" t="str">
        <f t="shared" si="1"/>
        <v/>
      </c>
      <c r="D54" s="11">
        <f t="shared" si="2"/>
        <v>0</v>
      </c>
      <c r="E54" s="11">
        <f t="shared" si="3"/>
        <v>0</v>
      </c>
      <c r="F54" s="11">
        <f t="shared" si="4"/>
        <v>0</v>
      </c>
      <c r="G54" s="12">
        <f t="shared" si="5"/>
        <v>0</v>
      </c>
      <c r="H54" s="11">
        <f t="shared" si="6"/>
        <v>0</v>
      </c>
      <c r="I54" s="11">
        <f t="shared" si="7"/>
        <v>0</v>
      </c>
      <c r="J54" s="12">
        <f t="shared" si="8"/>
        <v>0</v>
      </c>
      <c r="K54" s="11">
        <f t="shared" si="9"/>
        <v>0</v>
      </c>
      <c r="L54" s="12">
        <f t="shared" si="10"/>
        <v>0</v>
      </c>
      <c r="M54" s="12">
        <f t="shared" si="11"/>
        <v>0</v>
      </c>
      <c r="N54" s="11">
        <f t="shared" si="12"/>
        <v>0</v>
      </c>
      <c r="O54" s="12">
        <f t="shared" si="13"/>
        <v>0</v>
      </c>
      <c r="P54" s="11">
        <f t="shared" si="14"/>
        <v>0</v>
      </c>
      <c r="Q54" s="12">
        <f t="shared" si="15"/>
        <v>0</v>
      </c>
      <c r="R54" s="11">
        <f t="shared" si="16"/>
        <v>0</v>
      </c>
      <c r="S54" s="12">
        <f t="shared" si="17"/>
        <v>0</v>
      </c>
      <c r="T54" s="12">
        <f t="shared" si="18"/>
        <v>0</v>
      </c>
      <c r="U54" s="12">
        <f t="shared" si="19"/>
        <v>0</v>
      </c>
      <c r="V54" s="11">
        <f t="shared" si="20"/>
        <v>0</v>
      </c>
      <c r="W54" s="11">
        <f t="shared" si="21"/>
        <v>0</v>
      </c>
      <c r="X54" s="11">
        <f t="shared" si="22"/>
        <v>0</v>
      </c>
      <c r="Y54" s="11">
        <f t="shared" si="23"/>
        <v>0</v>
      </c>
      <c r="Z54" s="12">
        <f t="shared" si="24"/>
        <v>0</v>
      </c>
      <c r="AA54" s="11">
        <f t="shared" si="25"/>
        <v>0</v>
      </c>
      <c r="AB54" s="11">
        <f t="shared" si="26"/>
        <v>0</v>
      </c>
      <c r="AC54" s="11">
        <f t="shared" si="27"/>
        <v>0</v>
      </c>
      <c r="AD54" s="11">
        <f t="shared" si="28"/>
        <v>0</v>
      </c>
      <c r="AE54" s="13">
        <f t="shared" si="29"/>
        <v>0</v>
      </c>
      <c r="AF54" s="13">
        <f t="shared" si="30"/>
        <v>0</v>
      </c>
      <c r="AG54" s="11">
        <f t="shared" si="31"/>
        <v>0</v>
      </c>
      <c r="AH54" s="14" t="str">
        <f t="shared" si="33"/>
        <v>InvalidSymbolDetails</v>
      </c>
      <c r="AI54" s="12">
        <f t="shared" si="32"/>
        <v>0</v>
      </c>
    </row>
    <row r="55" spans="1:35" x14ac:dyDescent="0.25">
      <c r="A55" s="9"/>
      <c r="B55" s="9"/>
      <c r="C55" s="10" t="str">
        <f t="shared" si="1"/>
        <v/>
      </c>
      <c r="D55" s="11">
        <f t="shared" si="2"/>
        <v>0</v>
      </c>
      <c r="E55" s="11">
        <f t="shared" si="3"/>
        <v>0</v>
      </c>
      <c r="F55" s="11">
        <f t="shared" si="4"/>
        <v>0</v>
      </c>
      <c r="G55" s="12">
        <f t="shared" si="5"/>
        <v>0</v>
      </c>
      <c r="H55" s="11">
        <f t="shared" si="6"/>
        <v>0</v>
      </c>
      <c r="I55" s="11">
        <f t="shared" si="7"/>
        <v>0</v>
      </c>
      <c r="J55" s="12">
        <f t="shared" si="8"/>
        <v>0</v>
      </c>
      <c r="K55" s="11">
        <f t="shared" si="9"/>
        <v>0</v>
      </c>
      <c r="L55" s="12">
        <f t="shared" si="10"/>
        <v>0</v>
      </c>
      <c r="M55" s="12">
        <f t="shared" si="11"/>
        <v>0</v>
      </c>
      <c r="N55" s="11">
        <f t="shared" si="12"/>
        <v>0</v>
      </c>
      <c r="O55" s="12">
        <f t="shared" si="13"/>
        <v>0</v>
      </c>
      <c r="P55" s="11">
        <f t="shared" si="14"/>
        <v>0</v>
      </c>
      <c r="Q55" s="12">
        <f t="shared" si="15"/>
        <v>0</v>
      </c>
      <c r="R55" s="11">
        <f t="shared" si="16"/>
        <v>0</v>
      </c>
      <c r="S55" s="12">
        <f t="shared" si="17"/>
        <v>0</v>
      </c>
      <c r="T55" s="12">
        <f t="shared" si="18"/>
        <v>0</v>
      </c>
      <c r="U55" s="12">
        <f t="shared" si="19"/>
        <v>0</v>
      </c>
      <c r="V55" s="11">
        <f t="shared" si="20"/>
        <v>0</v>
      </c>
      <c r="W55" s="11">
        <f t="shared" si="21"/>
        <v>0</v>
      </c>
      <c r="X55" s="11">
        <f t="shared" si="22"/>
        <v>0</v>
      </c>
      <c r="Y55" s="11">
        <f t="shared" si="23"/>
        <v>0</v>
      </c>
      <c r="Z55" s="12">
        <f t="shared" si="24"/>
        <v>0</v>
      </c>
      <c r="AA55" s="11">
        <f t="shared" si="25"/>
        <v>0</v>
      </c>
      <c r="AB55" s="11">
        <f t="shared" si="26"/>
        <v>0</v>
      </c>
      <c r="AC55" s="11">
        <f t="shared" si="27"/>
        <v>0</v>
      </c>
      <c r="AD55" s="11">
        <f t="shared" si="28"/>
        <v>0</v>
      </c>
      <c r="AE55" s="13">
        <f t="shared" si="29"/>
        <v>0</v>
      </c>
      <c r="AF55" s="13">
        <f t="shared" si="30"/>
        <v>0</v>
      </c>
      <c r="AG55" s="11">
        <f t="shared" si="31"/>
        <v>0</v>
      </c>
      <c r="AH55" s="14" t="str">
        <f t="shared" si="33"/>
        <v>InvalidSymbolDetails</v>
      </c>
      <c r="AI55" s="12">
        <f t="shared" si="32"/>
        <v>0</v>
      </c>
    </row>
    <row r="56" spans="1:35" x14ac:dyDescent="0.25">
      <c r="A56" s="9"/>
      <c r="B56" s="9"/>
      <c r="C56" s="10" t="str">
        <f t="shared" si="1"/>
        <v/>
      </c>
      <c r="D56" s="11">
        <f t="shared" si="2"/>
        <v>0</v>
      </c>
      <c r="E56" s="11">
        <f t="shared" si="3"/>
        <v>0</v>
      </c>
      <c r="F56" s="11">
        <f t="shared" si="4"/>
        <v>0</v>
      </c>
      <c r="G56" s="12">
        <f t="shared" si="5"/>
        <v>0</v>
      </c>
      <c r="H56" s="11">
        <f t="shared" si="6"/>
        <v>0</v>
      </c>
      <c r="I56" s="11">
        <f t="shared" si="7"/>
        <v>0</v>
      </c>
      <c r="J56" s="12">
        <f t="shared" si="8"/>
        <v>0</v>
      </c>
      <c r="K56" s="11">
        <f t="shared" si="9"/>
        <v>0</v>
      </c>
      <c r="L56" s="12">
        <f t="shared" si="10"/>
        <v>0</v>
      </c>
      <c r="M56" s="12">
        <f t="shared" si="11"/>
        <v>0</v>
      </c>
      <c r="N56" s="11">
        <f t="shared" si="12"/>
        <v>0</v>
      </c>
      <c r="O56" s="12">
        <f t="shared" si="13"/>
        <v>0</v>
      </c>
      <c r="P56" s="11">
        <f t="shared" si="14"/>
        <v>0</v>
      </c>
      <c r="Q56" s="12">
        <f t="shared" si="15"/>
        <v>0</v>
      </c>
      <c r="R56" s="11">
        <f t="shared" si="16"/>
        <v>0</v>
      </c>
      <c r="S56" s="12">
        <f t="shared" si="17"/>
        <v>0</v>
      </c>
      <c r="T56" s="12">
        <f t="shared" si="18"/>
        <v>0</v>
      </c>
      <c r="U56" s="12">
        <f t="shared" si="19"/>
        <v>0</v>
      </c>
      <c r="V56" s="11">
        <f t="shared" si="20"/>
        <v>0</v>
      </c>
      <c r="W56" s="11">
        <f t="shared" si="21"/>
        <v>0</v>
      </c>
      <c r="X56" s="11">
        <f t="shared" si="22"/>
        <v>0</v>
      </c>
      <c r="Y56" s="11">
        <f t="shared" si="23"/>
        <v>0</v>
      </c>
      <c r="Z56" s="12">
        <f t="shared" si="24"/>
        <v>0</v>
      </c>
      <c r="AA56" s="11">
        <f t="shared" si="25"/>
        <v>0</v>
      </c>
      <c r="AB56" s="11">
        <f t="shared" si="26"/>
        <v>0</v>
      </c>
      <c r="AC56" s="11">
        <f t="shared" si="27"/>
        <v>0</v>
      </c>
      <c r="AD56" s="11">
        <f t="shared" si="28"/>
        <v>0</v>
      </c>
      <c r="AE56" s="13">
        <f t="shared" si="29"/>
        <v>0</v>
      </c>
      <c r="AF56" s="13">
        <f t="shared" si="30"/>
        <v>0</v>
      </c>
      <c r="AG56" s="11">
        <f t="shared" si="31"/>
        <v>0</v>
      </c>
      <c r="AH56" s="14" t="str">
        <f t="shared" si="33"/>
        <v>InvalidSymbolDetails</v>
      </c>
      <c r="AI56" s="12">
        <f t="shared" si="32"/>
        <v>0</v>
      </c>
    </row>
    <row r="57" spans="1:35" x14ac:dyDescent="0.25">
      <c r="A57" s="9"/>
      <c r="B57" s="9"/>
      <c r="C57" s="10" t="str">
        <f t="shared" si="1"/>
        <v/>
      </c>
      <c r="D57" s="11">
        <f t="shared" si="2"/>
        <v>0</v>
      </c>
      <c r="E57" s="11">
        <f t="shared" si="3"/>
        <v>0</v>
      </c>
      <c r="F57" s="11">
        <f t="shared" si="4"/>
        <v>0</v>
      </c>
      <c r="G57" s="12">
        <f t="shared" si="5"/>
        <v>0</v>
      </c>
      <c r="H57" s="11">
        <f t="shared" si="6"/>
        <v>0</v>
      </c>
      <c r="I57" s="11">
        <f t="shared" si="7"/>
        <v>0</v>
      </c>
      <c r="J57" s="12">
        <f t="shared" si="8"/>
        <v>0</v>
      </c>
      <c r="K57" s="11">
        <f t="shared" si="9"/>
        <v>0</v>
      </c>
      <c r="L57" s="12">
        <f t="shared" si="10"/>
        <v>0</v>
      </c>
      <c r="M57" s="12">
        <f t="shared" si="11"/>
        <v>0</v>
      </c>
      <c r="N57" s="11">
        <f t="shared" si="12"/>
        <v>0</v>
      </c>
      <c r="O57" s="12">
        <f t="shared" si="13"/>
        <v>0</v>
      </c>
      <c r="P57" s="11">
        <f t="shared" si="14"/>
        <v>0</v>
      </c>
      <c r="Q57" s="12">
        <f t="shared" si="15"/>
        <v>0</v>
      </c>
      <c r="R57" s="11">
        <f t="shared" si="16"/>
        <v>0</v>
      </c>
      <c r="S57" s="12">
        <f t="shared" si="17"/>
        <v>0</v>
      </c>
      <c r="T57" s="12">
        <f t="shared" si="18"/>
        <v>0</v>
      </c>
      <c r="U57" s="12">
        <f t="shared" si="19"/>
        <v>0</v>
      </c>
      <c r="V57" s="11">
        <f t="shared" si="20"/>
        <v>0</v>
      </c>
      <c r="W57" s="11">
        <f t="shared" si="21"/>
        <v>0</v>
      </c>
      <c r="X57" s="11">
        <f t="shared" si="22"/>
        <v>0</v>
      </c>
      <c r="Y57" s="11">
        <f t="shared" si="23"/>
        <v>0</v>
      </c>
      <c r="Z57" s="12">
        <f t="shared" si="24"/>
        <v>0</v>
      </c>
      <c r="AA57" s="11">
        <f t="shared" si="25"/>
        <v>0</v>
      </c>
      <c r="AB57" s="11">
        <f t="shared" si="26"/>
        <v>0</v>
      </c>
      <c r="AC57" s="11">
        <f t="shared" si="27"/>
        <v>0</v>
      </c>
      <c r="AD57" s="11">
        <f t="shared" si="28"/>
        <v>0</v>
      </c>
      <c r="AE57" s="13">
        <f t="shared" si="29"/>
        <v>0</v>
      </c>
      <c r="AF57" s="13">
        <f t="shared" si="30"/>
        <v>0</v>
      </c>
      <c r="AG57" s="11">
        <f t="shared" si="31"/>
        <v>0</v>
      </c>
      <c r="AH57" s="14" t="str">
        <f t="shared" si="33"/>
        <v>InvalidSymbolDetails</v>
      </c>
      <c r="AI57" s="12">
        <f t="shared" si="32"/>
        <v>0</v>
      </c>
    </row>
    <row r="58" spans="1:35" x14ac:dyDescent="0.25">
      <c r="A58" s="9"/>
      <c r="B58" s="9"/>
      <c r="C58" s="10" t="str">
        <f t="shared" si="1"/>
        <v/>
      </c>
      <c r="D58" s="11">
        <f t="shared" si="2"/>
        <v>0</v>
      </c>
      <c r="E58" s="11">
        <f t="shared" si="3"/>
        <v>0</v>
      </c>
      <c r="F58" s="11">
        <f t="shared" si="4"/>
        <v>0</v>
      </c>
      <c r="G58" s="12">
        <f t="shared" si="5"/>
        <v>0</v>
      </c>
      <c r="H58" s="11">
        <f t="shared" si="6"/>
        <v>0</v>
      </c>
      <c r="I58" s="11">
        <f t="shared" si="7"/>
        <v>0</v>
      </c>
      <c r="J58" s="12">
        <f t="shared" si="8"/>
        <v>0</v>
      </c>
      <c r="K58" s="11">
        <f t="shared" si="9"/>
        <v>0</v>
      </c>
      <c r="L58" s="12">
        <f t="shared" si="10"/>
        <v>0</v>
      </c>
      <c r="M58" s="12">
        <f t="shared" si="11"/>
        <v>0</v>
      </c>
      <c r="N58" s="11">
        <f t="shared" si="12"/>
        <v>0</v>
      </c>
      <c r="O58" s="12">
        <f t="shared" si="13"/>
        <v>0</v>
      </c>
      <c r="P58" s="11">
        <f t="shared" si="14"/>
        <v>0</v>
      </c>
      <c r="Q58" s="12">
        <f t="shared" si="15"/>
        <v>0</v>
      </c>
      <c r="R58" s="11">
        <f t="shared" si="16"/>
        <v>0</v>
      </c>
      <c r="S58" s="12">
        <f t="shared" si="17"/>
        <v>0</v>
      </c>
      <c r="T58" s="12">
        <f t="shared" si="18"/>
        <v>0</v>
      </c>
      <c r="U58" s="12">
        <f t="shared" si="19"/>
        <v>0</v>
      </c>
      <c r="V58" s="11">
        <f t="shared" si="20"/>
        <v>0</v>
      </c>
      <c r="W58" s="11">
        <f t="shared" si="21"/>
        <v>0</v>
      </c>
      <c r="X58" s="11">
        <f t="shared" si="22"/>
        <v>0</v>
      </c>
      <c r="Y58" s="11">
        <f t="shared" si="23"/>
        <v>0</v>
      </c>
      <c r="Z58" s="12">
        <f t="shared" si="24"/>
        <v>0</v>
      </c>
      <c r="AA58" s="11">
        <f t="shared" si="25"/>
        <v>0</v>
      </c>
      <c r="AB58" s="11">
        <f t="shared" si="26"/>
        <v>0</v>
      </c>
      <c r="AC58" s="11">
        <f t="shared" si="27"/>
        <v>0</v>
      </c>
      <c r="AD58" s="11">
        <f t="shared" si="28"/>
        <v>0</v>
      </c>
      <c r="AE58" s="13">
        <f t="shared" si="29"/>
        <v>0</v>
      </c>
      <c r="AF58" s="13">
        <f t="shared" si="30"/>
        <v>0</v>
      </c>
      <c r="AG58" s="11">
        <f t="shared" si="31"/>
        <v>0</v>
      </c>
      <c r="AH58" s="14" t="str">
        <f t="shared" si="33"/>
        <v>InvalidSymbolDetails</v>
      </c>
      <c r="AI58" s="12">
        <f t="shared" si="32"/>
        <v>0</v>
      </c>
    </row>
    <row r="59" spans="1:35" x14ac:dyDescent="0.25">
      <c r="A59" s="9"/>
      <c r="B59" s="9"/>
      <c r="C59" s="10" t="str">
        <f t="shared" si="1"/>
        <v/>
      </c>
      <c r="D59" s="11">
        <f t="shared" si="2"/>
        <v>0</v>
      </c>
      <c r="E59" s="11">
        <f t="shared" si="3"/>
        <v>0</v>
      </c>
      <c r="F59" s="11">
        <f t="shared" si="4"/>
        <v>0</v>
      </c>
      <c r="G59" s="12">
        <f t="shared" si="5"/>
        <v>0</v>
      </c>
      <c r="H59" s="11">
        <f t="shared" si="6"/>
        <v>0</v>
      </c>
      <c r="I59" s="11">
        <f t="shared" si="7"/>
        <v>0</v>
      </c>
      <c r="J59" s="12">
        <f t="shared" si="8"/>
        <v>0</v>
      </c>
      <c r="K59" s="11">
        <f t="shared" si="9"/>
        <v>0</v>
      </c>
      <c r="L59" s="12">
        <f t="shared" si="10"/>
        <v>0</v>
      </c>
      <c r="M59" s="12">
        <f t="shared" si="11"/>
        <v>0</v>
      </c>
      <c r="N59" s="11">
        <f t="shared" si="12"/>
        <v>0</v>
      </c>
      <c r="O59" s="12">
        <f t="shared" si="13"/>
        <v>0</v>
      </c>
      <c r="P59" s="11">
        <f t="shared" si="14"/>
        <v>0</v>
      </c>
      <c r="Q59" s="12">
        <f t="shared" si="15"/>
        <v>0</v>
      </c>
      <c r="R59" s="11">
        <f t="shared" si="16"/>
        <v>0</v>
      </c>
      <c r="S59" s="12">
        <f t="shared" si="17"/>
        <v>0</v>
      </c>
      <c r="T59" s="12">
        <f t="shared" si="18"/>
        <v>0</v>
      </c>
      <c r="U59" s="12">
        <f t="shared" si="19"/>
        <v>0</v>
      </c>
      <c r="V59" s="11">
        <f t="shared" si="20"/>
        <v>0</v>
      </c>
      <c r="W59" s="11">
        <f t="shared" si="21"/>
        <v>0</v>
      </c>
      <c r="X59" s="11">
        <f t="shared" si="22"/>
        <v>0</v>
      </c>
      <c r="Y59" s="11">
        <f t="shared" si="23"/>
        <v>0</v>
      </c>
      <c r="Z59" s="12">
        <f t="shared" si="24"/>
        <v>0</v>
      </c>
      <c r="AA59" s="11">
        <f t="shared" si="25"/>
        <v>0</v>
      </c>
      <c r="AB59" s="11">
        <f t="shared" si="26"/>
        <v>0</v>
      </c>
      <c r="AC59" s="11">
        <f t="shared" si="27"/>
        <v>0</v>
      </c>
      <c r="AD59" s="11">
        <f t="shared" si="28"/>
        <v>0</v>
      </c>
      <c r="AE59" s="13">
        <f t="shared" si="29"/>
        <v>0</v>
      </c>
      <c r="AF59" s="13">
        <f t="shared" si="30"/>
        <v>0</v>
      </c>
      <c r="AG59" s="11">
        <f t="shared" si="31"/>
        <v>0</v>
      </c>
      <c r="AH59" s="14" t="str">
        <f t="shared" si="33"/>
        <v>InvalidSymbolDetails</v>
      </c>
      <c r="AI59" s="12">
        <f t="shared" si="32"/>
        <v>0</v>
      </c>
    </row>
    <row r="60" spans="1:35" x14ac:dyDescent="0.25">
      <c r="A60" s="9"/>
      <c r="B60" s="9"/>
      <c r="C60" s="10" t="str">
        <f t="shared" si="1"/>
        <v/>
      </c>
      <c r="D60" s="11">
        <f t="shared" si="2"/>
        <v>0</v>
      </c>
      <c r="E60" s="11">
        <f t="shared" si="3"/>
        <v>0</v>
      </c>
      <c r="F60" s="11">
        <f t="shared" si="4"/>
        <v>0</v>
      </c>
      <c r="G60" s="12">
        <f t="shared" si="5"/>
        <v>0</v>
      </c>
      <c r="H60" s="11">
        <f t="shared" si="6"/>
        <v>0</v>
      </c>
      <c r="I60" s="11">
        <f t="shared" si="7"/>
        <v>0</v>
      </c>
      <c r="J60" s="12">
        <f t="shared" si="8"/>
        <v>0</v>
      </c>
      <c r="K60" s="11">
        <f t="shared" si="9"/>
        <v>0</v>
      </c>
      <c r="L60" s="12">
        <f t="shared" si="10"/>
        <v>0</v>
      </c>
      <c r="M60" s="12">
        <f t="shared" si="11"/>
        <v>0</v>
      </c>
      <c r="N60" s="11">
        <f t="shared" si="12"/>
        <v>0</v>
      </c>
      <c r="O60" s="12">
        <f t="shared" si="13"/>
        <v>0</v>
      </c>
      <c r="P60" s="11">
        <f t="shared" si="14"/>
        <v>0</v>
      </c>
      <c r="Q60" s="12">
        <f t="shared" si="15"/>
        <v>0</v>
      </c>
      <c r="R60" s="11">
        <f t="shared" si="16"/>
        <v>0</v>
      </c>
      <c r="S60" s="12">
        <f t="shared" si="17"/>
        <v>0</v>
      </c>
      <c r="T60" s="12">
        <f t="shared" si="18"/>
        <v>0</v>
      </c>
      <c r="U60" s="12">
        <f t="shared" si="19"/>
        <v>0</v>
      </c>
      <c r="V60" s="11">
        <f t="shared" si="20"/>
        <v>0</v>
      </c>
      <c r="W60" s="11">
        <f t="shared" si="21"/>
        <v>0</v>
      </c>
      <c r="X60" s="11">
        <f t="shared" si="22"/>
        <v>0</v>
      </c>
      <c r="Y60" s="11">
        <f t="shared" si="23"/>
        <v>0</v>
      </c>
      <c r="Z60" s="12">
        <f t="shared" si="24"/>
        <v>0</v>
      </c>
      <c r="AA60" s="11">
        <f t="shared" si="25"/>
        <v>0</v>
      </c>
      <c r="AB60" s="11">
        <f t="shared" si="26"/>
        <v>0</v>
      </c>
      <c r="AC60" s="11">
        <f t="shared" si="27"/>
        <v>0</v>
      </c>
      <c r="AD60" s="11">
        <f t="shared" si="28"/>
        <v>0</v>
      </c>
      <c r="AE60" s="13">
        <f t="shared" si="29"/>
        <v>0</v>
      </c>
      <c r="AF60" s="13">
        <f t="shared" si="30"/>
        <v>0</v>
      </c>
      <c r="AG60" s="11">
        <f t="shared" si="31"/>
        <v>0</v>
      </c>
      <c r="AH60" s="14" t="str">
        <f t="shared" si="33"/>
        <v>InvalidSymbolDetails</v>
      </c>
      <c r="AI60" s="12">
        <f t="shared" si="32"/>
        <v>0</v>
      </c>
    </row>
    <row r="61" spans="1:35" x14ac:dyDescent="0.25">
      <c r="A61" s="9"/>
      <c r="B61" s="9"/>
      <c r="C61" s="10" t="str">
        <f t="shared" si="1"/>
        <v/>
      </c>
      <c r="D61" s="11">
        <f t="shared" si="2"/>
        <v>0</v>
      </c>
      <c r="E61" s="11">
        <f t="shared" si="3"/>
        <v>0</v>
      </c>
      <c r="F61" s="11">
        <f t="shared" si="4"/>
        <v>0</v>
      </c>
      <c r="G61" s="12">
        <f t="shared" si="5"/>
        <v>0</v>
      </c>
      <c r="H61" s="11">
        <f t="shared" si="6"/>
        <v>0</v>
      </c>
      <c r="I61" s="11">
        <f t="shared" si="7"/>
        <v>0</v>
      </c>
      <c r="J61" s="12">
        <f t="shared" si="8"/>
        <v>0</v>
      </c>
      <c r="K61" s="11">
        <f t="shared" si="9"/>
        <v>0</v>
      </c>
      <c r="L61" s="12">
        <f t="shared" si="10"/>
        <v>0</v>
      </c>
      <c r="M61" s="12">
        <f t="shared" si="11"/>
        <v>0</v>
      </c>
      <c r="N61" s="11">
        <f t="shared" si="12"/>
        <v>0</v>
      </c>
      <c r="O61" s="12">
        <f t="shared" si="13"/>
        <v>0</v>
      </c>
      <c r="P61" s="11">
        <f t="shared" si="14"/>
        <v>0</v>
      </c>
      <c r="Q61" s="12">
        <f t="shared" si="15"/>
        <v>0</v>
      </c>
      <c r="R61" s="11">
        <f t="shared" si="16"/>
        <v>0</v>
      </c>
      <c r="S61" s="12">
        <f t="shared" si="17"/>
        <v>0</v>
      </c>
      <c r="T61" s="12">
        <f t="shared" si="18"/>
        <v>0</v>
      </c>
      <c r="U61" s="12">
        <f t="shared" si="19"/>
        <v>0</v>
      </c>
      <c r="V61" s="11">
        <f t="shared" si="20"/>
        <v>0</v>
      </c>
      <c r="W61" s="11">
        <f t="shared" si="21"/>
        <v>0</v>
      </c>
      <c r="X61" s="11">
        <f t="shared" si="22"/>
        <v>0</v>
      </c>
      <c r="Y61" s="11">
        <f t="shared" si="23"/>
        <v>0</v>
      </c>
      <c r="Z61" s="12">
        <f t="shared" si="24"/>
        <v>0</v>
      </c>
      <c r="AA61" s="11">
        <f t="shared" si="25"/>
        <v>0</v>
      </c>
      <c r="AB61" s="11">
        <f t="shared" si="26"/>
        <v>0</v>
      </c>
      <c r="AC61" s="11">
        <f t="shared" si="27"/>
        <v>0</v>
      </c>
      <c r="AD61" s="11">
        <f t="shared" si="28"/>
        <v>0</v>
      </c>
      <c r="AE61" s="13">
        <f t="shared" si="29"/>
        <v>0</v>
      </c>
      <c r="AF61" s="13">
        <f t="shared" si="30"/>
        <v>0</v>
      </c>
      <c r="AG61" s="11">
        <f t="shared" si="31"/>
        <v>0</v>
      </c>
      <c r="AH61" s="14" t="str">
        <f t="shared" si="33"/>
        <v>InvalidSymbolDetails</v>
      </c>
      <c r="AI61" s="12">
        <f t="shared" si="32"/>
        <v>0</v>
      </c>
    </row>
    <row r="62" spans="1:35" x14ac:dyDescent="0.25">
      <c r="A62" s="9"/>
      <c r="B62" s="9"/>
      <c r="C62" s="10" t="str">
        <f t="shared" si="1"/>
        <v/>
      </c>
      <c r="D62" s="11">
        <f t="shared" si="2"/>
        <v>0</v>
      </c>
      <c r="E62" s="11">
        <f t="shared" si="3"/>
        <v>0</v>
      </c>
      <c r="F62" s="11">
        <f t="shared" si="4"/>
        <v>0</v>
      </c>
      <c r="G62" s="12">
        <f t="shared" si="5"/>
        <v>0</v>
      </c>
      <c r="H62" s="11">
        <f t="shared" si="6"/>
        <v>0</v>
      </c>
      <c r="I62" s="11">
        <f t="shared" si="7"/>
        <v>0</v>
      </c>
      <c r="J62" s="12">
        <f t="shared" si="8"/>
        <v>0</v>
      </c>
      <c r="K62" s="11">
        <f t="shared" si="9"/>
        <v>0</v>
      </c>
      <c r="L62" s="12">
        <f t="shared" si="10"/>
        <v>0</v>
      </c>
      <c r="M62" s="12">
        <f t="shared" si="11"/>
        <v>0</v>
      </c>
      <c r="N62" s="11">
        <f t="shared" si="12"/>
        <v>0</v>
      </c>
      <c r="O62" s="12">
        <f t="shared" si="13"/>
        <v>0</v>
      </c>
      <c r="P62" s="11">
        <f t="shared" si="14"/>
        <v>0</v>
      </c>
      <c r="Q62" s="12">
        <f t="shared" si="15"/>
        <v>0</v>
      </c>
      <c r="R62" s="11">
        <f t="shared" si="16"/>
        <v>0</v>
      </c>
      <c r="S62" s="12">
        <f t="shared" si="17"/>
        <v>0</v>
      </c>
      <c r="T62" s="12">
        <f t="shared" si="18"/>
        <v>0</v>
      </c>
      <c r="U62" s="12">
        <f t="shared" si="19"/>
        <v>0</v>
      </c>
      <c r="V62" s="11">
        <f t="shared" si="20"/>
        <v>0</v>
      </c>
      <c r="W62" s="11">
        <f t="shared" si="21"/>
        <v>0</v>
      </c>
      <c r="X62" s="11">
        <f t="shared" si="22"/>
        <v>0</v>
      </c>
      <c r="Y62" s="11">
        <f t="shared" si="23"/>
        <v>0</v>
      </c>
      <c r="Z62" s="12">
        <f t="shared" si="24"/>
        <v>0</v>
      </c>
      <c r="AA62" s="11">
        <f t="shared" si="25"/>
        <v>0</v>
      </c>
      <c r="AB62" s="11">
        <f t="shared" si="26"/>
        <v>0</v>
      </c>
      <c r="AC62" s="11">
        <f t="shared" si="27"/>
        <v>0</v>
      </c>
      <c r="AD62" s="11">
        <f t="shared" si="28"/>
        <v>0</v>
      </c>
      <c r="AE62" s="13">
        <f t="shared" si="29"/>
        <v>0</v>
      </c>
      <c r="AF62" s="13">
        <f t="shared" si="30"/>
        <v>0</v>
      </c>
      <c r="AG62" s="11">
        <f t="shared" si="31"/>
        <v>0</v>
      </c>
      <c r="AH62" s="14" t="str">
        <f t="shared" si="33"/>
        <v>InvalidSymbolDetails</v>
      </c>
      <c r="AI62" s="12">
        <f t="shared" si="32"/>
        <v>0</v>
      </c>
    </row>
    <row r="63" spans="1:35" x14ac:dyDescent="0.25">
      <c r="A63" s="9"/>
      <c r="B63" s="9"/>
      <c r="C63" s="10" t="str">
        <f t="shared" si="1"/>
        <v/>
      </c>
      <c r="D63" s="11">
        <f t="shared" si="2"/>
        <v>0</v>
      </c>
      <c r="E63" s="11">
        <f t="shared" si="3"/>
        <v>0</v>
      </c>
      <c r="F63" s="11">
        <f t="shared" si="4"/>
        <v>0</v>
      </c>
      <c r="G63" s="12">
        <f t="shared" si="5"/>
        <v>0</v>
      </c>
      <c r="H63" s="11">
        <f t="shared" si="6"/>
        <v>0</v>
      </c>
      <c r="I63" s="11">
        <f t="shared" si="7"/>
        <v>0</v>
      </c>
      <c r="J63" s="12">
        <f t="shared" si="8"/>
        <v>0</v>
      </c>
      <c r="K63" s="11">
        <f t="shared" si="9"/>
        <v>0</v>
      </c>
      <c r="L63" s="12">
        <f t="shared" si="10"/>
        <v>0</v>
      </c>
      <c r="M63" s="12">
        <f t="shared" si="11"/>
        <v>0</v>
      </c>
      <c r="N63" s="11">
        <f t="shared" si="12"/>
        <v>0</v>
      </c>
      <c r="O63" s="12">
        <f t="shared" si="13"/>
        <v>0</v>
      </c>
      <c r="P63" s="11">
        <f t="shared" si="14"/>
        <v>0</v>
      </c>
      <c r="Q63" s="12">
        <f t="shared" si="15"/>
        <v>0</v>
      </c>
      <c r="R63" s="11">
        <f t="shared" si="16"/>
        <v>0</v>
      </c>
      <c r="S63" s="12">
        <f t="shared" si="17"/>
        <v>0</v>
      </c>
      <c r="T63" s="12">
        <f t="shared" si="18"/>
        <v>0</v>
      </c>
      <c r="U63" s="12">
        <f t="shared" si="19"/>
        <v>0</v>
      </c>
      <c r="V63" s="11">
        <f t="shared" si="20"/>
        <v>0</v>
      </c>
      <c r="W63" s="11">
        <f t="shared" si="21"/>
        <v>0</v>
      </c>
      <c r="X63" s="11">
        <f t="shared" si="22"/>
        <v>0</v>
      </c>
      <c r="Y63" s="11">
        <f t="shared" si="23"/>
        <v>0</v>
      </c>
      <c r="Z63" s="12">
        <f t="shared" si="24"/>
        <v>0</v>
      </c>
      <c r="AA63" s="11">
        <f t="shared" si="25"/>
        <v>0</v>
      </c>
      <c r="AB63" s="11">
        <f t="shared" si="26"/>
        <v>0</v>
      </c>
      <c r="AC63" s="11">
        <f t="shared" si="27"/>
        <v>0</v>
      </c>
      <c r="AD63" s="11">
        <f t="shared" si="28"/>
        <v>0</v>
      </c>
      <c r="AE63" s="13">
        <f t="shared" si="29"/>
        <v>0</v>
      </c>
      <c r="AF63" s="13">
        <f t="shared" si="30"/>
        <v>0</v>
      </c>
      <c r="AG63" s="11">
        <f t="shared" si="31"/>
        <v>0</v>
      </c>
      <c r="AH63" s="14" t="str">
        <f t="shared" si="33"/>
        <v>InvalidSymbolDetails</v>
      </c>
      <c r="AI63" s="12">
        <f t="shared" si="32"/>
        <v>0</v>
      </c>
    </row>
    <row r="64" spans="1:35" x14ac:dyDescent="0.25">
      <c r="A64" s="9"/>
      <c r="B64" s="9"/>
      <c r="C64" s="10" t="str">
        <f t="shared" si="1"/>
        <v/>
      </c>
      <c r="D64" s="11">
        <f t="shared" si="2"/>
        <v>0</v>
      </c>
      <c r="E64" s="11">
        <f t="shared" si="3"/>
        <v>0</v>
      </c>
      <c r="F64" s="11">
        <f t="shared" si="4"/>
        <v>0</v>
      </c>
      <c r="G64" s="12">
        <f t="shared" si="5"/>
        <v>0</v>
      </c>
      <c r="H64" s="11">
        <f t="shared" si="6"/>
        <v>0</v>
      </c>
      <c r="I64" s="11">
        <f t="shared" si="7"/>
        <v>0</v>
      </c>
      <c r="J64" s="12">
        <f t="shared" si="8"/>
        <v>0</v>
      </c>
      <c r="K64" s="11">
        <f t="shared" si="9"/>
        <v>0</v>
      </c>
      <c r="L64" s="12">
        <f t="shared" si="10"/>
        <v>0</v>
      </c>
      <c r="M64" s="12">
        <f t="shared" si="11"/>
        <v>0</v>
      </c>
      <c r="N64" s="11">
        <f t="shared" si="12"/>
        <v>0</v>
      </c>
      <c r="O64" s="12">
        <f t="shared" si="13"/>
        <v>0</v>
      </c>
      <c r="P64" s="11">
        <f t="shared" si="14"/>
        <v>0</v>
      </c>
      <c r="Q64" s="12">
        <f t="shared" si="15"/>
        <v>0</v>
      </c>
      <c r="R64" s="11">
        <f t="shared" si="16"/>
        <v>0</v>
      </c>
      <c r="S64" s="12">
        <f t="shared" si="17"/>
        <v>0</v>
      </c>
      <c r="T64" s="12">
        <f t="shared" si="18"/>
        <v>0</v>
      </c>
      <c r="U64" s="12">
        <f t="shared" si="19"/>
        <v>0</v>
      </c>
      <c r="V64" s="11">
        <f t="shared" si="20"/>
        <v>0</v>
      </c>
      <c r="W64" s="11">
        <f t="shared" si="21"/>
        <v>0</v>
      </c>
      <c r="X64" s="11">
        <f t="shared" si="22"/>
        <v>0</v>
      </c>
      <c r="Y64" s="11">
        <f t="shared" si="23"/>
        <v>0</v>
      </c>
      <c r="Z64" s="12">
        <f t="shared" si="24"/>
        <v>0</v>
      </c>
      <c r="AA64" s="11">
        <f t="shared" si="25"/>
        <v>0</v>
      </c>
      <c r="AB64" s="11">
        <f t="shared" si="26"/>
        <v>0</v>
      </c>
      <c r="AC64" s="11">
        <f t="shared" si="27"/>
        <v>0</v>
      </c>
      <c r="AD64" s="11">
        <f t="shared" si="28"/>
        <v>0</v>
      </c>
      <c r="AE64" s="13">
        <f t="shared" si="29"/>
        <v>0</v>
      </c>
      <c r="AF64" s="13">
        <f t="shared" si="30"/>
        <v>0</v>
      </c>
      <c r="AG64" s="11">
        <f t="shared" si="31"/>
        <v>0</v>
      </c>
      <c r="AH64" s="14" t="str">
        <f t="shared" si="33"/>
        <v>InvalidSymbolDetails</v>
      </c>
      <c r="AI64" s="12">
        <f t="shared" si="32"/>
        <v>0</v>
      </c>
    </row>
    <row r="65" spans="1:35" x14ac:dyDescent="0.25">
      <c r="A65" s="9"/>
      <c r="B65" s="9"/>
      <c r="C65" s="10" t="str">
        <f t="shared" si="1"/>
        <v/>
      </c>
      <c r="D65" s="11">
        <f t="shared" si="2"/>
        <v>0</v>
      </c>
      <c r="E65" s="11">
        <f t="shared" si="3"/>
        <v>0</v>
      </c>
      <c r="F65" s="11">
        <f t="shared" si="4"/>
        <v>0</v>
      </c>
      <c r="G65" s="12">
        <f t="shared" si="5"/>
        <v>0</v>
      </c>
      <c r="H65" s="11">
        <f t="shared" si="6"/>
        <v>0</v>
      </c>
      <c r="I65" s="11">
        <f t="shared" si="7"/>
        <v>0</v>
      </c>
      <c r="J65" s="12">
        <f t="shared" si="8"/>
        <v>0</v>
      </c>
      <c r="K65" s="11">
        <f t="shared" si="9"/>
        <v>0</v>
      </c>
      <c r="L65" s="12">
        <f t="shared" si="10"/>
        <v>0</v>
      </c>
      <c r="M65" s="12">
        <f t="shared" si="11"/>
        <v>0</v>
      </c>
      <c r="N65" s="11">
        <f t="shared" si="12"/>
        <v>0</v>
      </c>
      <c r="O65" s="12">
        <f t="shared" si="13"/>
        <v>0</v>
      </c>
      <c r="P65" s="11">
        <f t="shared" si="14"/>
        <v>0</v>
      </c>
      <c r="Q65" s="12">
        <f t="shared" si="15"/>
        <v>0</v>
      </c>
      <c r="R65" s="11">
        <f t="shared" si="16"/>
        <v>0</v>
      </c>
      <c r="S65" s="12">
        <f t="shared" si="17"/>
        <v>0</v>
      </c>
      <c r="T65" s="12">
        <f t="shared" si="18"/>
        <v>0</v>
      </c>
      <c r="U65" s="12">
        <f t="shared" si="19"/>
        <v>0</v>
      </c>
      <c r="V65" s="11">
        <f t="shared" si="20"/>
        <v>0</v>
      </c>
      <c r="W65" s="11">
        <f t="shared" si="21"/>
        <v>0</v>
      </c>
      <c r="X65" s="11">
        <f t="shared" si="22"/>
        <v>0</v>
      </c>
      <c r="Y65" s="11">
        <f t="shared" si="23"/>
        <v>0</v>
      </c>
      <c r="Z65" s="12">
        <f t="shared" si="24"/>
        <v>0</v>
      </c>
      <c r="AA65" s="11">
        <f t="shared" si="25"/>
        <v>0</v>
      </c>
      <c r="AB65" s="11">
        <f t="shared" si="26"/>
        <v>0</v>
      </c>
      <c r="AC65" s="11">
        <f t="shared" si="27"/>
        <v>0</v>
      </c>
      <c r="AD65" s="11">
        <f t="shared" si="28"/>
        <v>0</v>
      </c>
      <c r="AE65" s="13">
        <f t="shared" si="29"/>
        <v>0</v>
      </c>
      <c r="AF65" s="13">
        <f t="shared" si="30"/>
        <v>0</v>
      </c>
      <c r="AG65" s="11">
        <f t="shared" si="31"/>
        <v>0</v>
      </c>
      <c r="AH65" s="14" t="str">
        <f t="shared" si="33"/>
        <v>InvalidSymbolDetails</v>
      </c>
      <c r="AI65" s="12">
        <f t="shared" si="32"/>
        <v>0</v>
      </c>
    </row>
    <row r="66" spans="1:35" x14ac:dyDescent="0.25">
      <c r="A66" s="9"/>
      <c r="B66" s="9"/>
      <c r="C66" s="10" t="str">
        <f t="shared" si="1"/>
        <v/>
      </c>
      <c r="D66" s="11">
        <f t="shared" si="2"/>
        <v>0</v>
      </c>
      <c r="E66" s="11">
        <f t="shared" si="3"/>
        <v>0</v>
      </c>
      <c r="F66" s="11">
        <f t="shared" si="4"/>
        <v>0</v>
      </c>
      <c r="G66" s="12">
        <f t="shared" si="5"/>
        <v>0</v>
      </c>
      <c r="H66" s="11">
        <f t="shared" si="6"/>
        <v>0</v>
      </c>
      <c r="I66" s="11">
        <f t="shared" si="7"/>
        <v>0</v>
      </c>
      <c r="J66" s="12">
        <f t="shared" si="8"/>
        <v>0</v>
      </c>
      <c r="K66" s="11">
        <f t="shared" si="9"/>
        <v>0</v>
      </c>
      <c r="L66" s="12">
        <f t="shared" si="10"/>
        <v>0</v>
      </c>
      <c r="M66" s="12">
        <f t="shared" si="11"/>
        <v>0</v>
      </c>
      <c r="N66" s="11">
        <f t="shared" si="12"/>
        <v>0</v>
      </c>
      <c r="O66" s="12">
        <f t="shared" si="13"/>
        <v>0</v>
      </c>
      <c r="P66" s="11">
        <f t="shared" si="14"/>
        <v>0</v>
      </c>
      <c r="Q66" s="12">
        <f t="shared" si="15"/>
        <v>0</v>
      </c>
      <c r="R66" s="11">
        <f t="shared" si="16"/>
        <v>0</v>
      </c>
      <c r="S66" s="12">
        <f t="shared" si="17"/>
        <v>0</v>
      </c>
      <c r="T66" s="12">
        <f t="shared" si="18"/>
        <v>0</v>
      </c>
      <c r="U66" s="12">
        <f t="shared" si="19"/>
        <v>0</v>
      </c>
      <c r="V66" s="11">
        <f t="shared" si="20"/>
        <v>0</v>
      </c>
      <c r="W66" s="11">
        <f t="shared" si="21"/>
        <v>0</v>
      </c>
      <c r="X66" s="11">
        <f t="shared" si="22"/>
        <v>0</v>
      </c>
      <c r="Y66" s="11">
        <f t="shared" si="23"/>
        <v>0</v>
      </c>
      <c r="Z66" s="12">
        <f t="shared" si="24"/>
        <v>0</v>
      </c>
      <c r="AA66" s="11">
        <f t="shared" si="25"/>
        <v>0</v>
      </c>
      <c r="AB66" s="11">
        <f t="shared" si="26"/>
        <v>0</v>
      </c>
      <c r="AC66" s="11">
        <f t="shared" si="27"/>
        <v>0</v>
      </c>
      <c r="AD66" s="11">
        <f t="shared" si="28"/>
        <v>0</v>
      </c>
      <c r="AE66" s="13">
        <f t="shared" si="29"/>
        <v>0</v>
      </c>
      <c r="AF66" s="13">
        <f t="shared" si="30"/>
        <v>0</v>
      </c>
      <c r="AG66" s="11">
        <f t="shared" si="31"/>
        <v>0</v>
      </c>
      <c r="AH66" s="14" t="str">
        <f t="shared" ref="AH66:AH97" si="34">SubscribeQuotes(A66,B66)</f>
        <v>InvalidSymbolDetails</v>
      </c>
      <c r="AI66" s="12">
        <f t="shared" si="32"/>
        <v>0</v>
      </c>
    </row>
    <row r="67" spans="1:35" x14ac:dyDescent="0.25">
      <c r="A67" s="9"/>
      <c r="B67" s="9"/>
      <c r="C67" s="10" t="str">
        <f t="shared" ref="C67:C130" si="35">IF(D67&gt;0,"MKT DEPTH","")</f>
        <v/>
      </c>
      <c r="D67" s="11">
        <f t="shared" ref="D67:D130" si="36">GetRTD(A67,B67,"LAST")</f>
        <v>0</v>
      </c>
      <c r="E67" s="11">
        <f t="shared" ref="E67:E130" si="37">GetRTD(A67,B67,"PCTCHG")</f>
        <v>0</v>
      </c>
      <c r="F67" s="11">
        <f t="shared" ref="F67:F130" si="38">GetRTD(A67,B67,"NETCHG")</f>
        <v>0</v>
      </c>
      <c r="G67" s="12">
        <f t="shared" ref="G67:G130" si="39">GetRTD(A67,B67,"NETQTY")</f>
        <v>0</v>
      </c>
      <c r="H67" s="11">
        <f t="shared" ref="H67:H130" si="40">GetRTD(A67,B67,"MTM")</f>
        <v>0</v>
      </c>
      <c r="I67" s="11">
        <f t="shared" ref="I67:I130" si="41">GetRTD(A67,B67,"AVGBOUGHTPRICE")</f>
        <v>0</v>
      </c>
      <c r="J67" s="12">
        <f t="shared" ref="J67:J130" si="42">GetRTD(A67,B67,"BOUGHTQTY")</f>
        <v>0</v>
      </c>
      <c r="K67" s="11">
        <f t="shared" ref="K67:K130" si="43">GetRTD(A67,B67,"AVGSOLDPRICE")</f>
        <v>0</v>
      </c>
      <c r="L67" s="12">
        <f t="shared" ref="L67:L130" si="44">GetRTD(A67,B67,"SOLDQTY")</f>
        <v>0</v>
      </c>
      <c r="M67" s="12">
        <f t="shared" ref="M67:M130" si="45">GetRTD(A67,B67,"LASTSIZE")</f>
        <v>0</v>
      </c>
      <c r="N67" s="11">
        <f t="shared" ref="N67:N130" si="46">GetRTD(A67,B67,"BID")</f>
        <v>0</v>
      </c>
      <c r="O67" s="12">
        <f t="shared" ref="O67:O130" si="47">GetRTD(A67,B67,"BIDSIZE")</f>
        <v>0</v>
      </c>
      <c r="P67" s="11">
        <f t="shared" ref="P67:P130" si="48">GetRTD(A67,B67,"ASK")</f>
        <v>0</v>
      </c>
      <c r="Q67" s="12">
        <f t="shared" ref="Q67:Q130" si="49">GetRTD(A67,B67,"ASKSIZE")</f>
        <v>0</v>
      </c>
      <c r="R67" s="11">
        <f t="shared" ref="R67:R130" si="50">GetRTD(A67,B67,"AVGPRICE")</f>
        <v>0</v>
      </c>
      <c r="S67" s="12">
        <f t="shared" ref="S67:S130" si="51">GetRTD(A67,B67,"VOLUME")</f>
        <v>0</v>
      </c>
      <c r="T67" s="12">
        <f t="shared" ref="T67:T130" si="52">GetRTD(A67,B67,"TOTALBUYQTY")</f>
        <v>0</v>
      </c>
      <c r="U67" s="12">
        <f t="shared" ref="U67:U130" si="53">GetRTD(A67,B67,"TOTALSELLQTY")</f>
        <v>0</v>
      </c>
      <c r="V67" s="11">
        <f t="shared" ref="V67:V130" si="54">GetRTD(A67,B67,"OPEN")</f>
        <v>0</v>
      </c>
      <c r="W67" s="11">
        <f t="shared" ref="W67:W130" si="55">GetRTD(A67,B67,"HIGH")</f>
        <v>0</v>
      </c>
      <c r="X67" s="11">
        <f t="shared" ref="X67:X130" si="56">GetRTD(A67,B67,"LOW")</f>
        <v>0</v>
      </c>
      <c r="Y67" s="11">
        <f t="shared" ref="Y67:Y130" si="57">GetRTD(A67,B67,"CLOSE")</f>
        <v>0</v>
      </c>
      <c r="Z67" s="12">
        <f t="shared" ref="Z67:Z130" si="58">GetRTD(A67,B67,"OI")</f>
        <v>0</v>
      </c>
      <c r="AA67" s="11">
        <f t="shared" ref="AA67:AA130" si="59">GetRTD(A67,B67,"LOWERCKT")</f>
        <v>0</v>
      </c>
      <c r="AB67" s="11">
        <f t="shared" ref="AB67:AB130" si="60">GetRTD(A67,B67,"UPPERCKT")</f>
        <v>0</v>
      </c>
      <c r="AC67" s="11">
        <f t="shared" ref="AC67:AC130" si="61">GetRTD(A67,B67,"YEARLYHIGH")</f>
        <v>0</v>
      </c>
      <c r="AD67" s="11">
        <f t="shared" ref="AD67:AD130" si="62">GetRTD(A67,B67,"YEARLYLOW")</f>
        <v>0</v>
      </c>
      <c r="AE67" s="13">
        <f t="shared" ref="AE67:AE130" si="63">GetRTD(A67,B67,"LUT")</f>
        <v>0</v>
      </c>
      <c r="AF67" s="13">
        <f t="shared" ref="AF67:AF130" si="64">GetRTD(A67,B67,"LTT")</f>
        <v>0</v>
      </c>
      <c r="AG67" s="11">
        <f t="shared" ref="AG67:AG130" si="65">GetRTD(A67,B67,"SPOT")</f>
        <v>0</v>
      </c>
      <c r="AH67" s="14" t="str">
        <f t="shared" si="34"/>
        <v>InvalidSymbolDetails</v>
      </c>
      <c r="AI67" s="12">
        <f t="shared" ref="AI67:AI130" si="66">GetValueColor(B67,D67,"Ltp",AF67)</f>
        <v>0</v>
      </c>
    </row>
    <row r="68" spans="1:35" x14ac:dyDescent="0.25">
      <c r="A68" s="9"/>
      <c r="B68" s="9"/>
      <c r="C68" s="10" t="str">
        <f t="shared" si="35"/>
        <v/>
      </c>
      <c r="D68" s="11">
        <f t="shared" si="36"/>
        <v>0</v>
      </c>
      <c r="E68" s="11">
        <f t="shared" si="37"/>
        <v>0</v>
      </c>
      <c r="F68" s="11">
        <f t="shared" si="38"/>
        <v>0</v>
      </c>
      <c r="G68" s="12">
        <f t="shared" si="39"/>
        <v>0</v>
      </c>
      <c r="H68" s="11">
        <f t="shared" si="40"/>
        <v>0</v>
      </c>
      <c r="I68" s="11">
        <f t="shared" si="41"/>
        <v>0</v>
      </c>
      <c r="J68" s="12">
        <f t="shared" si="42"/>
        <v>0</v>
      </c>
      <c r="K68" s="11">
        <f t="shared" si="43"/>
        <v>0</v>
      </c>
      <c r="L68" s="12">
        <f t="shared" si="44"/>
        <v>0</v>
      </c>
      <c r="M68" s="12">
        <f t="shared" si="45"/>
        <v>0</v>
      </c>
      <c r="N68" s="11">
        <f t="shared" si="46"/>
        <v>0</v>
      </c>
      <c r="O68" s="12">
        <f t="shared" si="47"/>
        <v>0</v>
      </c>
      <c r="P68" s="11">
        <f t="shared" si="48"/>
        <v>0</v>
      </c>
      <c r="Q68" s="12">
        <f t="shared" si="49"/>
        <v>0</v>
      </c>
      <c r="R68" s="11">
        <f t="shared" si="50"/>
        <v>0</v>
      </c>
      <c r="S68" s="12">
        <f t="shared" si="51"/>
        <v>0</v>
      </c>
      <c r="T68" s="12">
        <f t="shared" si="52"/>
        <v>0</v>
      </c>
      <c r="U68" s="12">
        <f t="shared" si="53"/>
        <v>0</v>
      </c>
      <c r="V68" s="11">
        <f t="shared" si="54"/>
        <v>0</v>
      </c>
      <c r="W68" s="11">
        <f t="shared" si="55"/>
        <v>0</v>
      </c>
      <c r="X68" s="11">
        <f t="shared" si="56"/>
        <v>0</v>
      </c>
      <c r="Y68" s="11">
        <f t="shared" si="57"/>
        <v>0</v>
      </c>
      <c r="Z68" s="12">
        <f t="shared" si="58"/>
        <v>0</v>
      </c>
      <c r="AA68" s="11">
        <f t="shared" si="59"/>
        <v>0</v>
      </c>
      <c r="AB68" s="11">
        <f t="shared" si="60"/>
        <v>0</v>
      </c>
      <c r="AC68" s="11">
        <f t="shared" si="61"/>
        <v>0</v>
      </c>
      <c r="AD68" s="11">
        <f t="shared" si="62"/>
        <v>0</v>
      </c>
      <c r="AE68" s="13">
        <f t="shared" si="63"/>
        <v>0</v>
      </c>
      <c r="AF68" s="13">
        <f t="shared" si="64"/>
        <v>0</v>
      </c>
      <c r="AG68" s="11">
        <f t="shared" si="65"/>
        <v>0</v>
      </c>
      <c r="AH68" s="14" t="str">
        <f t="shared" si="34"/>
        <v>InvalidSymbolDetails</v>
      </c>
      <c r="AI68" s="12">
        <f t="shared" si="66"/>
        <v>0</v>
      </c>
    </row>
    <row r="69" spans="1:35" x14ac:dyDescent="0.25">
      <c r="A69" s="9"/>
      <c r="B69" s="9"/>
      <c r="C69" s="10" t="str">
        <f t="shared" si="35"/>
        <v/>
      </c>
      <c r="D69" s="11">
        <f t="shared" si="36"/>
        <v>0</v>
      </c>
      <c r="E69" s="11">
        <f t="shared" si="37"/>
        <v>0</v>
      </c>
      <c r="F69" s="11">
        <f t="shared" si="38"/>
        <v>0</v>
      </c>
      <c r="G69" s="12">
        <f t="shared" si="39"/>
        <v>0</v>
      </c>
      <c r="H69" s="11">
        <f t="shared" si="40"/>
        <v>0</v>
      </c>
      <c r="I69" s="11">
        <f t="shared" si="41"/>
        <v>0</v>
      </c>
      <c r="J69" s="12">
        <f t="shared" si="42"/>
        <v>0</v>
      </c>
      <c r="K69" s="11">
        <f t="shared" si="43"/>
        <v>0</v>
      </c>
      <c r="L69" s="12">
        <f t="shared" si="44"/>
        <v>0</v>
      </c>
      <c r="M69" s="12">
        <f t="shared" si="45"/>
        <v>0</v>
      </c>
      <c r="N69" s="11">
        <f t="shared" si="46"/>
        <v>0</v>
      </c>
      <c r="O69" s="12">
        <f t="shared" si="47"/>
        <v>0</v>
      </c>
      <c r="P69" s="11">
        <f t="shared" si="48"/>
        <v>0</v>
      </c>
      <c r="Q69" s="12">
        <f t="shared" si="49"/>
        <v>0</v>
      </c>
      <c r="R69" s="11">
        <f t="shared" si="50"/>
        <v>0</v>
      </c>
      <c r="S69" s="12">
        <f t="shared" si="51"/>
        <v>0</v>
      </c>
      <c r="T69" s="12">
        <f t="shared" si="52"/>
        <v>0</v>
      </c>
      <c r="U69" s="12">
        <f t="shared" si="53"/>
        <v>0</v>
      </c>
      <c r="V69" s="11">
        <f t="shared" si="54"/>
        <v>0</v>
      </c>
      <c r="W69" s="11">
        <f t="shared" si="55"/>
        <v>0</v>
      </c>
      <c r="X69" s="11">
        <f t="shared" si="56"/>
        <v>0</v>
      </c>
      <c r="Y69" s="11">
        <f t="shared" si="57"/>
        <v>0</v>
      </c>
      <c r="Z69" s="12">
        <f t="shared" si="58"/>
        <v>0</v>
      </c>
      <c r="AA69" s="11">
        <f t="shared" si="59"/>
        <v>0</v>
      </c>
      <c r="AB69" s="11">
        <f t="shared" si="60"/>
        <v>0</v>
      </c>
      <c r="AC69" s="11">
        <f t="shared" si="61"/>
        <v>0</v>
      </c>
      <c r="AD69" s="11">
        <f t="shared" si="62"/>
        <v>0</v>
      </c>
      <c r="AE69" s="13">
        <f t="shared" si="63"/>
        <v>0</v>
      </c>
      <c r="AF69" s="13">
        <f t="shared" si="64"/>
        <v>0</v>
      </c>
      <c r="AG69" s="11">
        <f t="shared" si="65"/>
        <v>0</v>
      </c>
      <c r="AH69" s="14" t="str">
        <f t="shared" si="34"/>
        <v>InvalidSymbolDetails</v>
      </c>
      <c r="AI69" s="12">
        <f t="shared" si="66"/>
        <v>0</v>
      </c>
    </row>
    <row r="70" spans="1:35" x14ac:dyDescent="0.25">
      <c r="A70" s="9"/>
      <c r="B70" s="9"/>
      <c r="C70" s="10" t="str">
        <f t="shared" si="35"/>
        <v/>
      </c>
      <c r="D70" s="11">
        <f t="shared" si="36"/>
        <v>0</v>
      </c>
      <c r="E70" s="11">
        <f t="shared" si="37"/>
        <v>0</v>
      </c>
      <c r="F70" s="11">
        <f t="shared" si="38"/>
        <v>0</v>
      </c>
      <c r="G70" s="12">
        <f t="shared" si="39"/>
        <v>0</v>
      </c>
      <c r="H70" s="11">
        <f t="shared" si="40"/>
        <v>0</v>
      </c>
      <c r="I70" s="11">
        <f t="shared" si="41"/>
        <v>0</v>
      </c>
      <c r="J70" s="12">
        <f t="shared" si="42"/>
        <v>0</v>
      </c>
      <c r="K70" s="11">
        <f t="shared" si="43"/>
        <v>0</v>
      </c>
      <c r="L70" s="12">
        <f t="shared" si="44"/>
        <v>0</v>
      </c>
      <c r="M70" s="12">
        <f t="shared" si="45"/>
        <v>0</v>
      </c>
      <c r="N70" s="11">
        <f t="shared" si="46"/>
        <v>0</v>
      </c>
      <c r="O70" s="12">
        <f t="shared" si="47"/>
        <v>0</v>
      </c>
      <c r="P70" s="11">
        <f t="shared" si="48"/>
        <v>0</v>
      </c>
      <c r="Q70" s="12">
        <f t="shared" si="49"/>
        <v>0</v>
      </c>
      <c r="R70" s="11">
        <f t="shared" si="50"/>
        <v>0</v>
      </c>
      <c r="S70" s="12">
        <f t="shared" si="51"/>
        <v>0</v>
      </c>
      <c r="T70" s="12">
        <f t="shared" si="52"/>
        <v>0</v>
      </c>
      <c r="U70" s="12">
        <f t="shared" si="53"/>
        <v>0</v>
      </c>
      <c r="V70" s="11">
        <f t="shared" si="54"/>
        <v>0</v>
      </c>
      <c r="W70" s="11">
        <f t="shared" si="55"/>
        <v>0</v>
      </c>
      <c r="X70" s="11">
        <f t="shared" si="56"/>
        <v>0</v>
      </c>
      <c r="Y70" s="11">
        <f t="shared" si="57"/>
        <v>0</v>
      </c>
      <c r="Z70" s="12">
        <f t="shared" si="58"/>
        <v>0</v>
      </c>
      <c r="AA70" s="11">
        <f t="shared" si="59"/>
        <v>0</v>
      </c>
      <c r="AB70" s="11">
        <f t="shared" si="60"/>
        <v>0</v>
      </c>
      <c r="AC70" s="11">
        <f t="shared" si="61"/>
        <v>0</v>
      </c>
      <c r="AD70" s="11">
        <f t="shared" si="62"/>
        <v>0</v>
      </c>
      <c r="AE70" s="13">
        <f t="shared" si="63"/>
        <v>0</v>
      </c>
      <c r="AF70" s="13">
        <f t="shared" si="64"/>
        <v>0</v>
      </c>
      <c r="AG70" s="11">
        <f t="shared" si="65"/>
        <v>0</v>
      </c>
      <c r="AH70" s="14" t="str">
        <f t="shared" si="34"/>
        <v>InvalidSymbolDetails</v>
      </c>
      <c r="AI70" s="12">
        <f t="shared" si="66"/>
        <v>0</v>
      </c>
    </row>
    <row r="71" spans="1:35" x14ac:dyDescent="0.25">
      <c r="A71" s="9"/>
      <c r="B71" s="9"/>
      <c r="C71" s="10" t="str">
        <f t="shared" si="35"/>
        <v/>
      </c>
      <c r="D71" s="11">
        <f t="shared" si="36"/>
        <v>0</v>
      </c>
      <c r="E71" s="11">
        <f t="shared" si="37"/>
        <v>0</v>
      </c>
      <c r="F71" s="11">
        <f t="shared" si="38"/>
        <v>0</v>
      </c>
      <c r="G71" s="12">
        <f t="shared" si="39"/>
        <v>0</v>
      </c>
      <c r="H71" s="11">
        <f t="shared" si="40"/>
        <v>0</v>
      </c>
      <c r="I71" s="11">
        <f t="shared" si="41"/>
        <v>0</v>
      </c>
      <c r="J71" s="12">
        <f t="shared" si="42"/>
        <v>0</v>
      </c>
      <c r="K71" s="11">
        <f t="shared" si="43"/>
        <v>0</v>
      </c>
      <c r="L71" s="12">
        <f t="shared" si="44"/>
        <v>0</v>
      </c>
      <c r="M71" s="12">
        <f t="shared" si="45"/>
        <v>0</v>
      </c>
      <c r="N71" s="11">
        <f t="shared" si="46"/>
        <v>0</v>
      </c>
      <c r="O71" s="12">
        <f t="shared" si="47"/>
        <v>0</v>
      </c>
      <c r="P71" s="11">
        <f t="shared" si="48"/>
        <v>0</v>
      </c>
      <c r="Q71" s="12">
        <f t="shared" si="49"/>
        <v>0</v>
      </c>
      <c r="R71" s="11">
        <f t="shared" si="50"/>
        <v>0</v>
      </c>
      <c r="S71" s="12">
        <f t="shared" si="51"/>
        <v>0</v>
      </c>
      <c r="T71" s="12">
        <f t="shared" si="52"/>
        <v>0</v>
      </c>
      <c r="U71" s="12">
        <f t="shared" si="53"/>
        <v>0</v>
      </c>
      <c r="V71" s="11">
        <f t="shared" si="54"/>
        <v>0</v>
      </c>
      <c r="W71" s="11">
        <f t="shared" si="55"/>
        <v>0</v>
      </c>
      <c r="X71" s="11">
        <f t="shared" si="56"/>
        <v>0</v>
      </c>
      <c r="Y71" s="11">
        <f t="shared" si="57"/>
        <v>0</v>
      </c>
      <c r="Z71" s="12">
        <f t="shared" si="58"/>
        <v>0</v>
      </c>
      <c r="AA71" s="11">
        <f t="shared" si="59"/>
        <v>0</v>
      </c>
      <c r="AB71" s="11">
        <f t="shared" si="60"/>
        <v>0</v>
      </c>
      <c r="AC71" s="11">
        <f t="shared" si="61"/>
        <v>0</v>
      </c>
      <c r="AD71" s="11">
        <f t="shared" si="62"/>
        <v>0</v>
      </c>
      <c r="AE71" s="13">
        <f t="shared" si="63"/>
        <v>0</v>
      </c>
      <c r="AF71" s="13">
        <f t="shared" si="64"/>
        <v>0</v>
      </c>
      <c r="AG71" s="11">
        <f t="shared" si="65"/>
        <v>0</v>
      </c>
      <c r="AH71" s="14" t="str">
        <f t="shared" si="34"/>
        <v>InvalidSymbolDetails</v>
      </c>
      <c r="AI71" s="12">
        <f t="shared" si="66"/>
        <v>0</v>
      </c>
    </row>
    <row r="72" spans="1:35" x14ac:dyDescent="0.25">
      <c r="A72" s="9"/>
      <c r="B72" s="9"/>
      <c r="C72" s="10" t="str">
        <f t="shared" si="35"/>
        <v/>
      </c>
      <c r="D72" s="11">
        <f t="shared" si="36"/>
        <v>0</v>
      </c>
      <c r="E72" s="11">
        <f t="shared" si="37"/>
        <v>0</v>
      </c>
      <c r="F72" s="11">
        <f t="shared" si="38"/>
        <v>0</v>
      </c>
      <c r="G72" s="12">
        <f t="shared" si="39"/>
        <v>0</v>
      </c>
      <c r="H72" s="11">
        <f t="shared" si="40"/>
        <v>0</v>
      </c>
      <c r="I72" s="11">
        <f t="shared" si="41"/>
        <v>0</v>
      </c>
      <c r="J72" s="12">
        <f t="shared" si="42"/>
        <v>0</v>
      </c>
      <c r="K72" s="11">
        <f t="shared" si="43"/>
        <v>0</v>
      </c>
      <c r="L72" s="12">
        <f t="shared" si="44"/>
        <v>0</v>
      </c>
      <c r="M72" s="12">
        <f t="shared" si="45"/>
        <v>0</v>
      </c>
      <c r="N72" s="11">
        <f t="shared" si="46"/>
        <v>0</v>
      </c>
      <c r="O72" s="12">
        <f t="shared" si="47"/>
        <v>0</v>
      </c>
      <c r="P72" s="11">
        <f t="shared" si="48"/>
        <v>0</v>
      </c>
      <c r="Q72" s="12">
        <f t="shared" si="49"/>
        <v>0</v>
      </c>
      <c r="R72" s="11">
        <f t="shared" si="50"/>
        <v>0</v>
      </c>
      <c r="S72" s="12">
        <f t="shared" si="51"/>
        <v>0</v>
      </c>
      <c r="T72" s="12">
        <f t="shared" si="52"/>
        <v>0</v>
      </c>
      <c r="U72" s="12">
        <f t="shared" si="53"/>
        <v>0</v>
      </c>
      <c r="V72" s="11">
        <f t="shared" si="54"/>
        <v>0</v>
      </c>
      <c r="W72" s="11">
        <f t="shared" si="55"/>
        <v>0</v>
      </c>
      <c r="X72" s="11">
        <f t="shared" si="56"/>
        <v>0</v>
      </c>
      <c r="Y72" s="11">
        <f t="shared" si="57"/>
        <v>0</v>
      </c>
      <c r="Z72" s="12">
        <f t="shared" si="58"/>
        <v>0</v>
      </c>
      <c r="AA72" s="11">
        <f t="shared" si="59"/>
        <v>0</v>
      </c>
      <c r="AB72" s="11">
        <f t="shared" si="60"/>
        <v>0</v>
      </c>
      <c r="AC72" s="11">
        <f t="shared" si="61"/>
        <v>0</v>
      </c>
      <c r="AD72" s="11">
        <f t="shared" si="62"/>
        <v>0</v>
      </c>
      <c r="AE72" s="13">
        <f t="shared" si="63"/>
        <v>0</v>
      </c>
      <c r="AF72" s="13">
        <f t="shared" si="64"/>
        <v>0</v>
      </c>
      <c r="AG72" s="11">
        <f t="shared" si="65"/>
        <v>0</v>
      </c>
      <c r="AH72" s="14" t="str">
        <f t="shared" si="34"/>
        <v>InvalidSymbolDetails</v>
      </c>
      <c r="AI72" s="12">
        <f t="shared" si="66"/>
        <v>0</v>
      </c>
    </row>
    <row r="73" spans="1:35" x14ac:dyDescent="0.25">
      <c r="A73" s="9"/>
      <c r="B73" s="9"/>
      <c r="C73" s="10" t="str">
        <f t="shared" si="35"/>
        <v/>
      </c>
      <c r="D73" s="11">
        <f t="shared" si="36"/>
        <v>0</v>
      </c>
      <c r="E73" s="11">
        <f t="shared" si="37"/>
        <v>0</v>
      </c>
      <c r="F73" s="11">
        <f t="shared" si="38"/>
        <v>0</v>
      </c>
      <c r="G73" s="12">
        <f t="shared" si="39"/>
        <v>0</v>
      </c>
      <c r="H73" s="11">
        <f t="shared" si="40"/>
        <v>0</v>
      </c>
      <c r="I73" s="11">
        <f t="shared" si="41"/>
        <v>0</v>
      </c>
      <c r="J73" s="12">
        <f t="shared" si="42"/>
        <v>0</v>
      </c>
      <c r="K73" s="11">
        <f t="shared" si="43"/>
        <v>0</v>
      </c>
      <c r="L73" s="12">
        <f t="shared" si="44"/>
        <v>0</v>
      </c>
      <c r="M73" s="12">
        <f t="shared" si="45"/>
        <v>0</v>
      </c>
      <c r="N73" s="11">
        <f t="shared" si="46"/>
        <v>0</v>
      </c>
      <c r="O73" s="12">
        <f t="shared" si="47"/>
        <v>0</v>
      </c>
      <c r="P73" s="11">
        <f t="shared" si="48"/>
        <v>0</v>
      </c>
      <c r="Q73" s="12">
        <f t="shared" si="49"/>
        <v>0</v>
      </c>
      <c r="R73" s="11">
        <f t="shared" si="50"/>
        <v>0</v>
      </c>
      <c r="S73" s="12">
        <f t="shared" si="51"/>
        <v>0</v>
      </c>
      <c r="T73" s="12">
        <f t="shared" si="52"/>
        <v>0</v>
      </c>
      <c r="U73" s="12">
        <f t="shared" si="53"/>
        <v>0</v>
      </c>
      <c r="V73" s="11">
        <f t="shared" si="54"/>
        <v>0</v>
      </c>
      <c r="W73" s="11">
        <f t="shared" si="55"/>
        <v>0</v>
      </c>
      <c r="X73" s="11">
        <f t="shared" si="56"/>
        <v>0</v>
      </c>
      <c r="Y73" s="11">
        <f t="shared" si="57"/>
        <v>0</v>
      </c>
      <c r="Z73" s="12">
        <f t="shared" si="58"/>
        <v>0</v>
      </c>
      <c r="AA73" s="11">
        <f t="shared" si="59"/>
        <v>0</v>
      </c>
      <c r="AB73" s="11">
        <f t="shared" si="60"/>
        <v>0</v>
      </c>
      <c r="AC73" s="11">
        <f t="shared" si="61"/>
        <v>0</v>
      </c>
      <c r="AD73" s="11">
        <f t="shared" si="62"/>
        <v>0</v>
      </c>
      <c r="AE73" s="13">
        <f t="shared" si="63"/>
        <v>0</v>
      </c>
      <c r="AF73" s="13">
        <f t="shared" si="64"/>
        <v>0</v>
      </c>
      <c r="AG73" s="11">
        <f t="shared" si="65"/>
        <v>0</v>
      </c>
      <c r="AH73" s="14" t="str">
        <f t="shared" si="34"/>
        <v>InvalidSymbolDetails</v>
      </c>
      <c r="AI73" s="12">
        <f t="shared" si="66"/>
        <v>0</v>
      </c>
    </row>
    <row r="74" spans="1:35" x14ac:dyDescent="0.25">
      <c r="A74" s="9"/>
      <c r="B74" s="9"/>
      <c r="C74" s="10" t="str">
        <f t="shared" si="35"/>
        <v/>
      </c>
      <c r="D74" s="11">
        <f t="shared" si="36"/>
        <v>0</v>
      </c>
      <c r="E74" s="11">
        <f t="shared" si="37"/>
        <v>0</v>
      </c>
      <c r="F74" s="11">
        <f t="shared" si="38"/>
        <v>0</v>
      </c>
      <c r="G74" s="12">
        <f t="shared" si="39"/>
        <v>0</v>
      </c>
      <c r="H74" s="11">
        <f t="shared" si="40"/>
        <v>0</v>
      </c>
      <c r="I74" s="11">
        <f t="shared" si="41"/>
        <v>0</v>
      </c>
      <c r="J74" s="12">
        <f t="shared" si="42"/>
        <v>0</v>
      </c>
      <c r="K74" s="11">
        <f t="shared" si="43"/>
        <v>0</v>
      </c>
      <c r="L74" s="12">
        <f t="shared" si="44"/>
        <v>0</v>
      </c>
      <c r="M74" s="12">
        <f t="shared" si="45"/>
        <v>0</v>
      </c>
      <c r="N74" s="11">
        <f t="shared" si="46"/>
        <v>0</v>
      </c>
      <c r="O74" s="12">
        <f t="shared" si="47"/>
        <v>0</v>
      </c>
      <c r="P74" s="11">
        <f t="shared" si="48"/>
        <v>0</v>
      </c>
      <c r="Q74" s="12">
        <f t="shared" si="49"/>
        <v>0</v>
      </c>
      <c r="R74" s="11">
        <f t="shared" si="50"/>
        <v>0</v>
      </c>
      <c r="S74" s="12">
        <f t="shared" si="51"/>
        <v>0</v>
      </c>
      <c r="T74" s="12">
        <f t="shared" si="52"/>
        <v>0</v>
      </c>
      <c r="U74" s="12">
        <f t="shared" si="53"/>
        <v>0</v>
      </c>
      <c r="V74" s="11">
        <f t="shared" si="54"/>
        <v>0</v>
      </c>
      <c r="W74" s="11">
        <f t="shared" si="55"/>
        <v>0</v>
      </c>
      <c r="X74" s="11">
        <f t="shared" si="56"/>
        <v>0</v>
      </c>
      <c r="Y74" s="11">
        <f t="shared" si="57"/>
        <v>0</v>
      </c>
      <c r="Z74" s="12">
        <f t="shared" si="58"/>
        <v>0</v>
      </c>
      <c r="AA74" s="11">
        <f t="shared" si="59"/>
        <v>0</v>
      </c>
      <c r="AB74" s="11">
        <f t="shared" si="60"/>
        <v>0</v>
      </c>
      <c r="AC74" s="11">
        <f t="shared" si="61"/>
        <v>0</v>
      </c>
      <c r="AD74" s="11">
        <f t="shared" si="62"/>
        <v>0</v>
      </c>
      <c r="AE74" s="13">
        <f t="shared" si="63"/>
        <v>0</v>
      </c>
      <c r="AF74" s="13">
        <f t="shared" si="64"/>
        <v>0</v>
      </c>
      <c r="AG74" s="11">
        <f t="shared" si="65"/>
        <v>0</v>
      </c>
      <c r="AH74" s="14" t="str">
        <f t="shared" si="34"/>
        <v>InvalidSymbolDetails</v>
      </c>
      <c r="AI74" s="12">
        <f t="shared" si="66"/>
        <v>0</v>
      </c>
    </row>
    <row r="75" spans="1:35" x14ac:dyDescent="0.25">
      <c r="A75" s="9"/>
      <c r="B75" s="9"/>
      <c r="C75" s="10" t="str">
        <f t="shared" si="35"/>
        <v/>
      </c>
      <c r="D75" s="11">
        <f t="shared" si="36"/>
        <v>0</v>
      </c>
      <c r="E75" s="11">
        <f t="shared" si="37"/>
        <v>0</v>
      </c>
      <c r="F75" s="11">
        <f t="shared" si="38"/>
        <v>0</v>
      </c>
      <c r="G75" s="12">
        <f t="shared" si="39"/>
        <v>0</v>
      </c>
      <c r="H75" s="11">
        <f t="shared" si="40"/>
        <v>0</v>
      </c>
      <c r="I75" s="11">
        <f t="shared" si="41"/>
        <v>0</v>
      </c>
      <c r="J75" s="12">
        <f t="shared" si="42"/>
        <v>0</v>
      </c>
      <c r="K75" s="11">
        <f t="shared" si="43"/>
        <v>0</v>
      </c>
      <c r="L75" s="12">
        <f t="shared" si="44"/>
        <v>0</v>
      </c>
      <c r="M75" s="12">
        <f t="shared" si="45"/>
        <v>0</v>
      </c>
      <c r="N75" s="11">
        <f t="shared" si="46"/>
        <v>0</v>
      </c>
      <c r="O75" s="12">
        <f t="shared" si="47"/>
        <v>0</v>
      </c>
      <c r="P75" s="11">
        <f t="shared" si="48"/>
        <v>0</v>
      </c>
      <c r="Q75" s="12">
        <f t="shared" si="49"/>
        <v>0</v>
      </c>
      <c r="R75" s="11">
        <f t="shared" si="50"/>
        <v>0</v>
      </c>
      <c r="S75" s="12">
        <f t="shared" si="51"/>
        <v>0</v>
      </c>
      <c r="T75" s="12">
        <f t="shared" si="52"/>
        <v>0</v>
      </c>
      <c r="U75" s="12">
        <f t="shared" si="53"/>
        <v>0</v>
      </c>
      <c r="V75" s="11">
        <f t="shared" si="54"/>
        <v>0</v>
      </c>
      <c r="W75" s="11">
        <f t="shared" si="55"/>
        <v>0</v>
      </c>
      <c r="X75" s="11">
        <f t="shared" si="56"/>
        <v>0</v>
      </c>
      <c r="Y75" s="11">
        <f t="shared" si="57"/>
        <v>0</v>
      </c>
      <c r="Z75" s="12">
        <f t="shared" si="58"/>
        <v>0</v>
      </c>
      <c r="AA75" s="11">
        <f t="shared" si="59"/>
        <v>0</v>
      </c>
      <c r="AB75" s="11">
        <f t="shared" si="60"/>
        <v>0</v>
      </c>
      <c r="AC75" s="11">
        <f t="shared" si="61"/>
        <v>0</v>
      </c>
      <c r="AD75" s="11">
        <f t="shared" si="62"/>
        <v>0</v>
      </c>
      <c r="AE75" s="13">
        <f t="shared" si="63"/>
        <v>0</v>
      </c>
      <c r="AF75" s="13">
        <f t="shared" si="64"/>
        <v>0</v>
      </c>
      <c r="AG75" s="11">
        <f t="shared" si="65"/>
        <v>0</v>
      </c>
      <c r="AH75" s="14" t="str">
        <f t="shared" si="34"/>
        <v>InvalidSymbolDetails</v>
      </c>
      <c r="AI75" s="12">
        <f t="shared" si="66"/>
        <v>0</v>
      </c>
    </row>
    <row r="76" spans="1:35" x14ac:dyDescent="0.25">
      <c r="A76" s="9"/>
      <c r="B76" s="9"/>
      <c r="C76" s="10" t="str">
        <f t="shared" si="35"/>
        <v/>
      </c>
      <c r="D76" s="11">
        <f t="shared" si="36"/>
        <v>0</v>
      </c>
      <c r="E76" s="11">
        <f t="shared" si="37"/>
        <v>0</v>
      </c>
      <c r="F76" s="11">
        <f t="shared" si="38"/>
        <v>0</v>
      </c>
      <c r="G76" s="12">
        <f t="shared" si="39"/>
        <v>0</v>
      </c>
      <c r="H76" s="11">
        <f t="shared" si="40"/>
        <v>0</v>
      </c>
      <c r="I76" s="11">
        <f t="shared" si="41"/>
        <v>0</v>
      </c>
      <c r="J76" s="12">
        <f t="shared" si="42"/>
        <v>0</v>
      </c>
      <c r="K76" s="11">
        <f t="shared" si="43"/>
        <v>0</v>
      </c>
      <c r="L76" s="12">
        <f t="shared" si="44"/>
        <v>0</v>
      </c>
      <c r="M76" s="12">
        <f t="shared" si="45"/>
        <v>0</v>
      </c>
      <c r="N76" s="11">
        <f t="shared" si="46"/>
        <v>0</v>
      </c>
      <c r="O76" s="12">
        <f t="shared" si="47"/>
        <v>0</v>
      </c>
      <c r="P76" s="11">
        <f t="shared" si="48"/>
        <v>0</v>
      </c>
      <c r="Q76" s="12">
        <f t="shared" si="49"/>
        <v>0</v>
      </c>
      <c r="R76" s="11">
        <f t="shared" si="50"/>
        <v>0</v>
      </c>
      <c r="S76" s="12">
        <f t="shared" si="51"/>
        <v>0</v>
      </c>
      <c r="T76" s="12">
        <f t="shared" si="52"/>
        <v>0</v>
      </c>
      <c r="U76" s="12">
        <f t="shared" si="53"/>
        <v>0</v>
      </c>
      <c r="V76" s="11">
        <f t="shared" si="54"/>
        <v>0</v>
      </c>
      <c r="W76" s="11">
        <f t="shared" si="55"/>
        <v>0</v>
      </c>
      <c r="X76" s="11">
        <f t="shared" si="56"/>
        <v>0</v>
      </c>
      <c r="Y76" s="11">
        <f t="shared" si="57"/>
        <v>0</v>
      </c>
      <c r="Z76" s="12">
        <f t="shared" si="58"/>
        <v>0</v>
      </c>
      <c r="AA76" s="11">
        <f t="shared" si="59"/>
        <v>0</v>
      </c>
      <c r="AB76" s="11">
        <f t="shared" si="60"/>
        <v>0</v>
      </c>
      <c r="AC76" s="11">
        <f t="shared" si="61"/>
        <v>0</v>
      </c>
      <c r="AD76" s="11">
        <f t="shared" si="62"/>
        <v>0</v>
      </c>
      <c r="AE76" s="13">
        <f t="shared" si="63"/>
        <v>0</v>
      </c>
      <c r="AF76" s="13">
        <f t="shared" si="64"/>
        <v>0</v>
      </c>
      <c r="AG76" s="11">
        <f t="shared" si="65"/>
        <v>0</v>
      </c>
      <c r="AH76" s="14" t="str">
        <f t="shared" si="34"/>
        <v>InvalidSymbolDetails</v>
      </c>
      <c r="AI76" s="12">
        <f t="shared" si="66"/>
        <v>0</v>
      </c>
    </row>
    <row r="77" spans="1:35" x14ac:dyDescent="0.25">
      <c r="A77" s="9"/>
      <c r="B77" s="9"/>
      <c r="C77" s="10" t="str">
        <f t="shared" si="35"/>
        <v/>
      </c>
      <c r="D77" s="11">
        <f t="shared" si="36"/>
        <v>0</v>
      </c>
      <c r="E77" s="11">
        <f t="shared" si="37"/>
        <v>0</v>
      </c>
      <c r="F77" s="11">
        <f t="shared" si="38"/>
        <v>0</v>
      </c>
      <c r="G77" s="12">
        <f t="shared" si="39"/>
        <v>0</v>
      </c>
      <c r="H77" s="11">
        <f t="shared" si="40"/>
        <v>0</v>
      </c>
      <c r="I77" s="11">
        <f t="shared" si="41"/>
        <v>0</v>
      </c>
      <c r="J77" s="12">
        <f t="shared" si="42"/>
        <v>0</v>
      </c>
      <c r="K77" s="11">
        <f t="shared" si="43"/>
        <v>0</v>
      </c>
      <c r="L77" s="12">
        <f t="shared" si="44"/>
        <v>0</v>
      </c>
      <c r="M77" s="12">
        <f t="shared" si="45"/>
        <v>0</v>
      </c>
      <c r="N77" s="11">
        <f t="shared" si="46"/>
        <v>0</v>
      </c>
      <c r="O77" s="12">
        <f t="shared" si="47"/>
        <v>0</v>
      </c>
      <c r="P77" s="11">
        <f t="shared" si="48"/>
        <v>0</v>
      </c>
      <c r="Q77" s="12">
        <f t="shared" si="49"/>
        <v>0</v>
      </c>
      <c r="R77" s="11">
        <f t="shared" si="50"/>
        <v>0</v>
      </c>
      <c r="S77" s="12">
        <f t="shared" si="51"/>
        <v>0</v>
      </c>
      <c r="T77" s="12">
        <f t="shared" si="52"/>
        <v>0</v>
      </c>
      <c r="U77" s="12">
        <f t="shared" si="53"/>
        <v>0</v>
      </c>
      <c r="V77" s="11">
        <f t="shared" si="54"/>
        <v>0</v>
      </c>
      <c r="W77" s="11">
        <f t="shared" si="55"/>
        <v>0</v>
      </c>
      <c r="X77" s="11">
        <f t="shared" si="56"/>
        <v>0</v>
      </c>
      <c r="Y77" s="11">
        <f t="shared" si="57"/>
        <v>0</v>
      </c>
      <c r="Z77" s="12">
        <f t="shared" si="58"/>
        <v>0</v>
      </c>
      <c r="AA77" s="11">
        <f t="shared" si="59"/>
        <v>0</v>
      </c>
      <c r="AB77" s="11">
        <f t="shared" si="60"/>
        <v>0</v>
      </c>
      <c r="AC77" s="11">
        <f t="shared" si="61"/>
        <v>0</v>
      </c>
      <c r="AD77" s="11">
        <f t="shared" si="62"/>
        <v>0</v>
      </c>
      <c r="AE77" s="13">
        <f t="shared" si="63"/>
        <v>0</v>
      </c>
      <c r="AF77" s="13">
        <f t="shared" si="64"/>
        <v>0</v>
      </c>
      <c r="AG77" s="11">
        <f t="shared" si="65"/>
        <v>0</v>
      </c>
      <c r="AH77" s="14" t="str">
        <f t="shared" si="34"/>
        <v>InvalidSymbolDetails</v>
      </c>
      <c r="AI77" s="12">
        <f t="shared" si="66"/>
        <v>0</v>
      </c>
    </row>
    <row r="78" spans="1:35" x14ac:dyDescent="0.25">
      <c r="A78" s="9"/>
      <c r="B78" s="9"/>
      <c r="C78" s="10" t="str">
        <f t="shared" si="35"/>
        <v/>
      </c>
      <c r="D78" s="11">
        <f t="shared" si="36"/>
        <v>0</v>
      </c>
      <c r="E78" s="11">
        <f t="shared" si="37"/>
        <v>0</v>
      </c>
      <c r="F78" s="11">
        <f t="shared" si="38"/>
        <v>0</v>
      </c>
      <c r="G78" s="12">
        <f t="shared" si="39"/>
        <v>0</v>
      </c>
      <c r="H78" s="11">
        <f t="shared" si="40"/>
        <v>0</v>
      </c>
      <c r="I78" s="11">
        <f t="shared" si="41"/>
        <v>0</v>
      </c>
      <c r="J78" s="12">
        <f t="shared" si="42"/>
        <v>0</v>
      </c>
      <c r="K78" s="11">
        <f t="shared" si="43"/>
        <v>0</v>
      </c>
      <c r="L78" s="12">
        <f t="shared" si="44"/>
        <v>0</v>
      </c>
      <c r="M78" s="12">
        <f t="shared" si="45"/>
        <v>0</v>
      </c>
      <c r="N78" s="11">
        <f t="shared" si="46"/>
        <v>0</v>
      </c>
      <c r="O78" s="12">
        <f t="shared" si="47"/>
        <v>0</v>
      </c>
      <c r="P78" s="11">
        <f t="shared" si="48"/>
        <v>0</v>
      </c>
      <c r="Q78" s="12">
        <f t="shared" si="49"/>
        <v>0</v>
      </c>
      <c r="R78" s="11">
        <f t="shared" si="50"/>
        <v>0</v>
      </c>
      <c r="S78" s="12">
        <f t="shared" si="51"/>
        <v>0</v>
      </c>
      <c r="T78" s="12">
        <f t="shared" si="52"/>
        <v>0</v>
      </c>
      <c r="U78" s="12">
        <f t="shared" si="53"/>
        <v>0</v>
      </c>
      <c r="V78" s="11">
        <f t="shared" si="54"/>
        <v>0</v>
      </c>
      <c r="W78" s="11">
        <f t="shared" si="55"/>
        <v>0</v>
      </c>
      <c r="X78" s="11">
        <f t="shared" si="56"/>
        <v>0</v>
      </c>
      <c r="Y78" s="11">
        <f t="shared" si="57"/>
        <v>0</v>
      </c>
      <c r="Z78" s="12">
        <f t="shared" si="58"/>
        <v>0</v>
      </c>
      <c r="AA78" s="11">
        <f t="shared" si="59"/>
        <v>0</v>
      </c>
      <c r="AB78" s="11">
        <f t="shared" si="60"/>
        <v>0</v>
      </c>
      <c r="AC78" s="11">
        <f t="shared" si="61"/>
        <v>0</v>
      </c>
      <c r="AD78" s="11">
        <f t="shared" si="62"/>
        <v>0</v>
      </c>
      <c r="AE78" s="13">
        <f t="shared" si="63"/>
        <v>0</v>
      </c>
      <c r="AF78" s="13">
        <f t="shared" si="64"/>
        <v>0</v>
      </c>
      <c r="AG78" s="11">
        <f t="shared" si="65"/>
        <v>0</v>
      </c>
      <c r="AH78" s="14" t="str">
        <f t="shared" si="34"/>
        <v>InvalidSymbolDetails</v>
      </c>
      <c r="AI78" s="12">
        <f t="shared" si="66"/>
        <v>0</v>
      </c>
    </row>
    <row r="79" spans="1:35" x14ac:dyDescent="0.25">
      <c r="A79" s="9"/>
      <c r="B79" s="9"/>
      <c r="C79" s="10" t="str">
        <f t="shared" si="35"/>
        <v/>
      </c>
      <c r="D79" s="11">
        <f t="shared" si="36"/>
        <v>0</v>
      </c>
      <c r="E79" s="11">
        <f t="shared" si="37"/>
        <v>0</v>
      </c>
      <c r="F79" s="11">
        <f t="shared" si="38"/>
        <v>0</v>
      </c>
      <c r="G79" s="12">
        <f t="shared" si="39"/>
        <v>0</v>
      </c>
      <c r="H79" s="11">
        <f t="shared" si="40"/>
        <v>0</v>
      </c>
      <c r="I79" s="11">
        <f t="shared" si="41"/>
        <v>0</v>
      </c>
      <c r="J79" s="12">
        <f t="shared" si="42"/>
        <v>0</v>
      </c>
      <c r="K79" s="11">
        <f t="shared" si="43"/>
        <v>0</v>
      </c>
      <c r="L79" s="12">
        <f t="shared" si="44"/>
        <v>0</v>
      </c>
      <c r="M79" s="12">
        <f t="shared" si="45"/>
        <v>0</v>
      </c>
      <c r="N79" s="11">
        <f t="shared" si="46"/>
        <v>0</v>
      </c>
      <c r="O79" s="12">
        <f t="shared" si="47"/>
        <v>0</v>
      </c>
      <c r="P79" s="11">
        <f t="shared" si="48"/>
        <v>0</v>
      </c>
      <c r="Q79" s="12">
        <f t="shared" si="49"/>
        <v>0</v>
      </c>
      <c r="R79" s="11">
        <f t="shared" si="50"/>
        <v>0</v>
      </c>
      <c r="S79" s="12">
        <f t="shared" si="51"/>
        <v>0</v>
      </c>
      <c r="T79" s="12">
        <f t="shared" si="52"/>
        <v>0</v>
      </c>
      <c r="U79" s="12">
        <f t="shared" si="53"/>
        <v>0</v>
      </c>
      <c r="V79" s="11">
        <f t="shared" si="54"/>
        <v>0</v>
      </c>
      <c r="W79" s="11">
        <f t="shared" si="55"/>
        <v>0</v>
      </c>
      <c r="X79" s="11">
        <f t="shared" si="56"/>
        <v>0</v>
      </c>
      <c r="Y79" s="11">
        <f t="shared" si="57"/>
        <v>0</v>
      </c>
      <c r="Z79" s="12">
        <f t="shared" si="58"/>
        <v>0</v>
      </c>
      <c r="AA79" s="11">
        <f t="shared" si="59"/>
        <v>0</v>
      </c>
      <c r="AB79" s="11">
        <f t="shared" si="60"/>
        <v>0</v>
      </c>
      <c r="AC79" s="11">
        <f t="shared" si="61"/>
        <v>0</v>
      </c>
      <c r="AD79" s="11">
        <f t="shared" si="62"/>
        <v>0</v>
      </c>
      <c r="AE79" s="13">
        <f t="shared" si="63"/>
        <v>0</v>
      </c>
      <c r="AF79" s="13">
        <f t="shared" si="64"/>
        <v>0</v>
      </c>
      <c r="AG79" s="11">
        <f t="shared" si="65"/>
        <v>0</v>
      </c>
      <c r="AH79" s="14" t="str">
        <f t="shared" si="34"/>
        <v>InvalidSymbolDetails</v>
      </c>
      <c r="AI79" s="12">
        <f t="shared" si="66"/>
        <v>0</v>
      </c>
    </row>
    <row r="80" spans="1:35" x14ac:dyDescent="0.25">
      <c r="A80" s="9"/>
      <c r="B80" s="9"/>
      <c r="C80" s="10" t="str">
        <f t="shared" si="35"/>
        <v/>
      </c>
      <c r="D80" s="11">
        <f t="shared" si="36"/>
        <v>0</v>
      </c>
      <c r="E80" s="11">
        <f t="shared" si="37"/>
        <v>0</v>
      </c>
      <c r="F80" s="11">
        <f t="shared" si="38"/>
        <v>0</v>
      </c>
      <c r="G80" s="12">
        <f t="shared" si="39"/>
        <v>0</v>
      </c>
      <c r="H80" s="11">
        <f t="shared" si="40"/>
        <v>0</v>
      </c>
      <c r="I80" s="11">
        <f t="shared" si="41"/>
        <v>0</v>
      </c>
      <c r="J80" s="12">
        <f t="shared" si="42"/>
        <v>0</v>
      </c>
      <c r="K80" s="11">
        <f t="shared" si="43"/>
        <v>0</v>
      </c>
      <c r="L80" s="12">
        <f t="shared" si="44"/>
        <v>0</v>
      </c>
      <c r="M80" s="12">
        <f t="shared" si="45"/>
        <v>0</v>
      </c>
      <c r="N80" s="11">
        <f t="shared" si="46"/>
        <v>0</v>
      </c>
      <c r="O80" s="12">
        <f t="shared" si="47"/>
        <v>0</v>
      </c>
      <c r="P80" s="11">
        <f t="shared" si="48"/>
        <v>0</v>
      </c>
      <c r="Q80" s="12">
        <f t="shared" si="49"/>
        <v>0</v>
      </c>
      <c r="R80" s="11">
        <f t="shared" si="50"/>
        <v>0</v>
      </c>
      <c r="S80" s="12">
        <f t="shared" si="51"/>
        <v>0</v>
      </c>
      <c r="T80" s="12">
        <f t="shared" si="52"/>
        <v>0</v>
      </c>
      <c r="U80" s="12">
        <f t="shared" si="53"/>
        <v>0</v>
      </c>
      <c r="V80" s="11">
        <f t="shared" si="54"/>
        <v>0</v>
      </c>
      <c r="W80" s="11">
        <f t="shared" si="55"/>
        <v>0</v>
      </c>
      <c r="X80" s="11">
        <f t="shared" si="56"/>
        <v>0</v>
      </c>
      <c r="Y80" s="11">
        <f t="shared" si="57"/>
        <v>0</v>
      </c>
      <c r="Z80" s="12">
        <f t="shared" si="58"/>
        <v>0</v>
      </c>
      <c r="AA80" s="11">
        <f t="shared" si="59"/>
        <v>0</v>
      </c>
      <c r="AB80" s="11">
        <f t="shared" si="60"/>
        <v>0</v>
      </c>
      <c r="AC80" s="11">
        <f t="shared" si="61"/>
        <v>0</v>
      </c>
      <c r="AD80" s="11">
        <f t="shared" si="62"/>
        <v>0</v>
      </c>
      <c r="AE80" s="13">
        <f t="shared" si="63"/>
        <v>0</v>
      </c>
      <c r="AF80" s="13">
        <f t="shared" si="64"/>
        <v>0</v>
      </c>
      <c r="AG80" s="11">
        <f t="shared" si="65"/>
        <v>0</v>
      </c>
      <c r="AH80" s="14" t="str">
        <f t="shared" si="34"/>
        <v>InvalidSymbolDetails</v>
      </c>
      <c r="AI80" s="12">
        <f t="shared" si="66"/>
        <v>0</v>
      </c>
    </row>
    <row r="81" spans="1:35" x14ac:dyDescent="0.25">
      <c r="A81" s="9"/>
      <c r="B81" s="9"/>
      <c r="C81" s="10" t="str">
        <f t="shared" si="35"/>
        <v/>
      </c>
      <c r="D81" s="11">
        <f t="shared" si="36"/>
        <v>0</v>
      </c>
      <c r="E81" s="11">
        <f t="shared" si="37"/>
        <v>0</v>
      </c>
      <c r="F81" s="11">
        <f t="shared" si="38"/>
        <v>0</v>
      </c>
      <c r="G81" s="12">
        <f t="shared" si="39"/>
        <v>0</v>
      </c>
      <c r="H81" s="11">
        <f t="shared" si="40"/>
        <v>0</v>
      </c>
      <c r="I81" s="11">
        <f t="shared" si="41"/>
        <v>0</v>
      </c>
      <c r="J81" s="12">
        <f t="shared" si="42"/>
        <v>0</v>
      </c>
      <c r="K81" s="11">
        <f t="shared" si="43"/>
        <v>0</v>
      </c>
      <c r="L81" s="12">
        <f t="shared" si="44"/>
        <v>0</v>
      </c>
      <c r="M81" s="12">
        <f t="shared" si="45"/>
        <v>0</v>
      </c>
      <c r="N81" s="11">
        <f t="shared" si="46"/>
        <v>0</v>
      </c>
      <c r="O81" s="12">
        <f t="shared" si="47"/>
        <v>0</v>
      </c>
      <c r="P81" s="11">
        <f t="shared" si="48"/>
        <v>0</v>
      </c>
      <c r="Q81" s="12">
        <f t="shared" si="49"/>
        <v>0</v>
      </c>
      <c r="R81" s="11">
        <f t="shared" si="50"/>
        <v>0</v>
      </c>
      <c r="S81" s="12">
        <f t="shared" si="51"/>
        <v>0</v>
      </c>
      <c r="T81" s="12">
        <f t="shared" si="52"/>
        <v>0</v>
      </c>
      <c r="U81" s="12">
        <f t="shared" si="53"/>
        <v>0</v>
      </c>
      <c r="V81" s="11">
        <f t="shared" si="54"/>
        <v>0</v>
      </c>
      <c r="W81" s="11">
        <f t="shared" si="55"/>
        <v>0</v>
      </c>
      <c r="X81" s="11">
        <f t="shared" si="56"/>
        <v>0</v>
      </c>
      <c r="Y81" s="11">
        <f t="shared" si="57"/>
        <v>0</v>
      </c>
      <c r="Z81" s="12">
        <f t="shared" si="58"/>
        <v>0</v>
      </c>
      <c r="AA81" s="11">
        <f t="shared" si="59"/>
        <v>0</v>
      </c>
      <c r="AB81" s="11">
        <f t="shared" si="60"/>
        <v>0</v>
      </c>
      <c r="AC81" s="11">
        <f t="shared" si="61"/>
        <v>0</v>
      </c>
      <c r="AD81" s="11">
        <f t="shared" si="62"/>
        <v>0</v>
      </c>
      <c r="AE81" s="13">
        <f t="shared" si="63"/>
        <v>0</v>
      </c>
      <c r="AF81" s="13">
        <f t="shared" si="64"/>
        <v>0</v>
      </c>
      <c r="AG81" s="11">
        <f t="shared" si="65"/>
        <v>0</v>
      </c>
      <c r="AH81" s="14" t="str">
        <f t="shared" si="34"/>
        <v>InvalidSymbolDetails</v>
      </c>
      <c r="AI81" s="12">
        <f t="shared" si="66"/>
        <v>0</v>
      </c>
    </row>
    <row r="82" spans="1:35" x14ac:dyDescent="0.25">
      <c r="A82" s="9"/>
      <c r="B82" s="9"/>
      <c r="C82" s="10" t="str">
        <f t="shared" si="35"/>
        <v/>
      </c>
      <c r="D82" s="11">
        <f t="shared" si="36"/>
        <v>0</v>
      </c>
      <c r="E82" s="11">
        <f t="shared" si="37"/>
        <v>0</v>
      </c>
      <c r="F82" s="11">
        <f t="shared" si="38"/>
        <v>0</v>
      </c>
      <c r="G82" s="12">
        <f t="shared" si="39"/>
        <v>0</v>
      </c>
      <c r="H82" s="11">
        <f t="shared" si="40"/>
        <v>0</v>
      </c>
      <c r="I82" s="11">
        <f t="shared" si="41"/>
        <v>0</v>
      </c>
      <c r="J82" s="12">
        <f t="shared" si="42"/>
        <v>0</v>
      </c>
      <c r="K82" s="11">
        <f t="shared" si="43"/>
        <v>0</v>
      </c>
      <c r="L82" s="12">
        <f t="shared" si="44"/>
        <v>0</v>
      </c>
      <c r="M82" s="12">
        <f t="shared" si="45"/>
        <v>0</v>
      </c>
      <c r="N82" s="11">
        <f t="shared" si="46"/>
        <v>0</v>
      </c>
      <c r="O82" s="12">
        <f t="shared" si="47"/>
        <v>0</v>
      </c>
      <c r="P82" s="11">
        <f t="shared" si="48"/>
        <v>0</v>
      </c>
      <c r="Q82" s="12">
        <f t="shared" si="49"/>
        <v>0</v>
      </c>
      <c r="R82" s="11">
        <f t="shared" si="50"/>
        <v>0</v>
      </c>
      <c r="S82" s="12">
        <f t="shared" si="51"/>
        <v>0</v>
      </c>
      <c r="T82" s="12">
        <f t="shared" si="52"/>
        <v>0</v>
      </c>
      <c r="U82" s="12">
        <f t="shared" si="53"/>
        <v>0</v>
      </c>
      <c r="V82" s="11">
        <f t="shared" si="54"/>
        <v>0</v>
      </c>
      <c r="W82" s="11">
        <f t="shared" si="55"/>
        <v>0</v>
      </c>
      <c r="X82" s="11">
        <f t="shared" si="56"/>
        <v>0</v>
      </c>
      <c r="Y82" s="11">
        <f t="shared" si="57"/>
        <v>0</v>
      </c>
      <c r="Z82" s="12">
        <f t="shared" si="58"/>
        <v>0</v>
      </c>
      <c r="AA82" s="11">
        <f t="shared" si="59"/>
        <v>0</v>
      </c>
      <c r="AB82" s="11">
        <f t="shared" si="60"/>
        <v>0</v>
      </c>
      <c r="AC82" s="11">
        <f t="shared" si="61"/>
        <v>0</v>
      </c>
      <c r="AD82" s="11">
        <f t="shared" si="62"/>
        <v>0</v>
      </c>
      <c r="AE82" s="13">
        <f t="shared" si="63"/>
        <v>0</v>
      </c>
      <c r="AF82" s="13">
        <f t="shared" si="64"/>
        <v>0</v>
      </c>
      <c r="AG82" s="11">
        <f t="shared" si="65"/>
        <v>0</v>
      </c>
      <c r="AH82" s="14" t="str">
        <f t="shared" si="34"/>
        <v>InvalidSymbolDetails</v>
      </c>
      <c r="AI82" s="12">
        <f t="shared" si="66"/>
        <v>0</v>
      </c>
    </row>
    <row r="83" spans="1:35" x14ac:dyDescent="0.25">
      <c r="A83" s="9"/>
      <c r="B83" s="9"/>
      <c r="C83" s="10" t="str">
        <f t="shared" si="35"/>
        <v/>
      </c>
      <c r="D83" s="11">
        <f t="shared" si="36"/>
        <v>0</v>
      </c>
      <c r="E83" s="11">
        <f t="shared" si="37"/>
        <v>0</v>
      </c>
      <c r="F83" s="11">
        <f t="shared" si="38"/>
        <v>0</v>
      </c>
      <c r="G83" s="12">
        <f t="shared" si="39"/>
        <v>0</v>
      </c>
      <c r="H83" s="11">
        <f t="shared" si="40"/>
        <v>0</v>
      </c>
      <c r="I83" s="11">
        <f t="shared" si="41"/>
        <v>0</v>
      </c>
      <c r="J83" s="12">
        <f t="shared" si="42"/>
        <v>0</v>
      </c>
      <c r="K83" s="11">
        <f t="shared" si="43"/>
        <v>0</v>
      </c>
      <c r="L83" s="12">
        <f t="shared" si="44"/>
        <v>0</v>
      </c>
      <c r="M83" s="12">
        <f t="shared" si="45"/>
        <v>0</v>
      </c>
      <c r="N83" s="11">
        <f t="shared" si="46"/>
        <v>0</v>
      </c>
      <c r="O83" s="12">
        <f t="shared" si="47"/>
        <v>0</v>
      </c>
      <c r="P83" s="11">
        <f t="shared" si="48"/>
        <v>0</v>
      </c>
      <c r="Q83" s="12">
        <f t="shared" si="49"/>
        <v>0</v>
      </c>
      <c r="R83" s="11">
        <f t="shared" si="50"/>
        <v>0</v>
      </c>
      <c r="S83" s="12">
        <f t="shared" si="51"/>
        <v>0</v>
      </c>
      <c r="T83" s="12">
        <f t="shared" si="52"/>
        <v>0</v>
      </c>
      <c r="U83" s="12">
        <f t="shared" si="53"/>
        <v>0</v>
      </c>
      <c r="V83" s="11">
        <f t="shared" si="54"/>
        <v>0</v>
      </c>
      <c r="W83" s="11">
        <f t="shared" si="55"/>
        <v>0</v>
      </c>
      <c r="X83" s="11">
        <f t="shared" si="56"/>
        <v>0</v>
      </c>
      <c r="Y83" s="11">
        <f t="shared" si="57"/>
        <v>0</v>
      </c>
      <c r="Z83" s="12">
        <f t="shared" si="58"/>
        <v>0</v>
      </c>
      <c r="AA83" s="11">
        <f t="shared" si="59"/>
        <v>0</v>
      </c>
      <c r="AB83" s="11">
        <f t="shared" si="60"/>
        <v>0</v>
      </c>
      <c r="AC83" s="11">
        <f t="shared" si="61"/>
        <v>0</v>
      </c>
      <c r="AD83" s="11">
        <f t="shared" si="62"/>
        <v>0</v>
      </c>
      <c r="AE83" s="13">
        <f t="shared" si="63"/>
        <v>0</v>
      </c>
      <c r="AF83" s="13">
        <f t="shared" si="64"/>
        <v>0</v>
      </c>
      <c r="AG83" s="11">
        <f t="shared" si="65"/>
        <v>0</v>
      </c>
      <c r="AH83" s="14" t="str">
        <f t="shared" si="34"/>
        <v>InvalidSymbolDetails</v>
      </c>
      <c r="AI83" s="12">
        <f t="shared" si="66"/>
        <v>0</v>
      </c>
    </row>
    <row r="84" spans="1:35" x14ac:dyDescent="0.25">
      <c r="A84" s="9"/>
      <c r="B84" s="9"/>
      <c r="C84" s="10" t="str">
        <f t="shared" si="35"/>
        <v/>
      </c>
      <c r="D84" s="11">
        <f t="shared" si="36"/>
        <v>0</v>
      </c>
      <c r="E84" s="11">
        <f t="shared" si="37"/>
        <v>0</v>
      </c>
      <c r="F84" s="11">
        <f t="shared" si="38"/>
        <v>0</v>
      </c>
      <c r="G84" s="12">
        <f t="shared" si="39"/>
        <v>0</v>
      </c>
      <c r="H84" s="11">
        <f t="shared" si="40"/>
        <v>0</v>
      </c>
      <c r="I84" s="11">
        <f t="shared" si="41"/>
        <v>0</v>
      </c>
      <c r="J84" s="12">
        <f t="shared" si="42"/>
        <v>0</v>
      </c>
      <c r="K84" s="11">
        <f t="shared" si="43"/>
        <v>0</v>
      </c>
      <c r="L84" s="12">
        <f t="shared" si="44"/>
        <v>0</v>
      </c>
      <c r="M84" s="12">
        <f t="shared" si="45"/>
        <v>0</v>
      </c>
      <c r="N84" s="11">
        <f t="shared" si="46"/>
        <v>0</v>
      </c>
      <c r="O84" s="12">
        <f t="shared" si="47"/>
        <v>0</v>
      </c>
      <c r="P84" s="11">
        <f t="shared" si="48"/>
        <v>0</v>
      </c>
      <c r="Q84" s="12">
        <f t="shared" si="49"/>
        <v>0</v>
      </c>
      <c r="R84" s="11">
        <f t="shared" si="50"/>
        <v>0</v>
      </c>
      <c r="S84" s="12">
        <f t="shared" si="51"/>
        <v>0</v>
      </c>
      <c r="T84" s="12">
        <f t="shared" si="52"/>
        <v>0</v>
      </c>
      <c r="U84" s="12">
        <f t="shared" si="53"/>
        <v>0</v>
      </c>
      <c r="V84" s="11">
        <f t="shared" si="54"/>
        <v>0</v>
      </c>
      <c r="W84" s="11">
        <f t="shared" si="55"/>
        <v>0</v>
      </c>
      <c r="X84" s="11">
        <f t="shared" si="56"/>
        <v>0</v>
      </c>
      <c r="Y84" s="11">
        <f t="shared" si="57"/>
        <v>0</v>
      </c>
      <c r="Z84" s="12">
        <f t="shared" si="58"/>
        <v>0</v>
      </c>
      <c r="AA84" s="11">
        <f t="shared" si="59"/>
        <v>0</v>
      </c>
      <c r="AB84" s="11">
        <f t="shared" si="60"/>
        <v>0</v>
      </c>
      <c r="AC84" s="11">
        <f t="shared" si="61"/>
        <v>0</v>
      </c>
      <c r="AD84" s="11">
        <f t="shared" si="62"/>
        <v>0</v>
      </c>
      <c r="AE84" s="13">
        <f t="shared" si="63"/>
        <v>0</v>
      </c>
      <c r="AF84" s="13">
        <f t="shared" si="64"/>
        <v>0</v>
      </c>
      <c r="AG84" s="11">
        <f t="shared" si="65"/>
        <v>0</v>
      </c>
      <c r="AH84" s="14" t="str">
        <f t="shared" si="34"/>
        <v>InvalidSymbolDetails</v>
      </c>
      <c r="AI84" s="12">
        <f t="shared" si="66"/>
        <v>0</v>
      </c>
    </row>
    <row r="85" spans="1:35" x14ac:dyDescent="0.25">
      <c r="A85" s="9"/>
      <c r="B85" s="9"/>
      <c r="C85" s="10" t="str">
        <f t="shared" si="35"/>
        <v/>
      </c>
      <c r="D85" s="11">
        <f t="shared" si="36"/>
        <v>0</v>
      </c>
      <c r="E85" s="11">
        <f t="shared" si="37"/>
        <v>0</v>
      </c>
      <c r="F85" s="11">
        <f t="shared" si="38"/>
        <v>0</v>
      </c>
      <c r="G85" s="12">
        <f t="shared" si="39"/>
        <v>0</v>
      </c>
      <c r="H85" s="11">
        <f t="shared" si="40"/>
        <v>0</v>
      </c>
      <c r="I85" s="11">
        <f t="shared" si="41"/>
        <v>0</v>
      </c>
      <c r="J85" s="12">
        <f t="shared" si="42"/>
        <v>0</v>
      </c>
      <c r="K85" s="11">
        <f t="shared" si="43"/>
        <v>0</v>
      </c>
      <c r="L85" s="12">
        <f t="shared" si="44"/>
        <v>0</v>
      </c>
      <c r="M85" s="12">
        <f t="shared" si="45"/>
        <v>0</v>
      </c>
      <c r="N85" s="11">
        <f t="shared" si="46"/>
        <v>0</v>
      </c>
      <c r="O85" s="12">
        <f t="shared" si="47"/>
        <v>0</v>
      </c>
      <c r="P85" s="11">
        <f t="shared" si="48"/>
        <v>0</v>
      </c>
      <c r="Q85" s="12">
        <f t="shared" si="49"/>
        <v>0</v>
      </c>
      <c r="R85" s="11">
        <f t="shared" si="50"/>
        <v>0</v>
      </c>
      <c r="S85" s="12">
        <f t="shared" si="51"/>
        <v>0</v>
      </c>
      <c r="T85" s="12">
        <f t="shared" si="52"/>
        <v>0</v>
      </c>
      <c r="U85" s="12">
        <f t="shared" si="53"/>
        <v>0</v>
      </c>
      <c r="V85" s="11">
        <f t="shared" si="54"/>
        <v>0</v>
      </c>
      <c r="W85" s="11">
        <f t="shared" si="55"/>
        <v>0</v>
      </c>
      <c r="X85" s="11">
        <f t="shared" si="56"/>
        <v>0</v>
      </c>
      <c r="Y85" s="11">
        <f t="shared" si="57"/>
        <v>0</v>
      </c>
      <c r="Z85" s="12">
        <f t="shared" si="58"/>
        <v>0</v>
      </c>
      <c r="AA85" s="11">
        <f t="shared" si="59"/>
        <v>0</v>
      </c>
      <c r="AB85" s="11">
        <f t="shared" si="60"/>
        <v>0</v>
      </c>
      <c r="AC85" s="11">
        <f t="shared" si="61"/>
        <v>0</v>
      </c>
      <c r="AD85" s="11">
        <f t="shared" si="62"/>
        <v>0</v>
      </c>
      <c r="AE85" s="13">
        <f t="shared" si="63"/>
        <v>0</v>
      </c>
      <c r="AF85" s="13">
        <f t="shared" si="64"/>
        <v>0</v>
      </c>
      <c r="AG85" s="11">
        <f t="shared" si="65"/>
        <v>0</v>
      </c>
      <c r="AH85" s="14" t="str">
        <f t="shared" si="34"/>
        <v>InvalidSymbolDetails</v>
      </c>
      <c r="AI85" s="12">
        <f t="shared" si="66"/>
        <v>0</v>
      </c>
    </row>
    <row r="86" spans="1:35" x14ac:dyDescent="0.25">
      <c r="A86" s="9"/>
      <c r="B86" s="9"/>
      <c r="C86" s="10" t="str">
        <f t="shared" si="35"/>
        <v/>
      </c>
      <c r="D86" s="11">
        <f t="shared" si="36"/>
        <v>0</v>
      </c>
      <c r="E86" s="11">
        <f t="shared" si="37"/>
        <v>0</v>
      </c>
      <c r="F86" s="11">
        <f t="shared" si="38"/>
        <v>0</v>
      </c>
      <c r="G86" s="12">
        <f t="shared" si="39"/>
        <v>0</v>
      </c>
      <c r="H86" s="11">
        <f t="shared" si="40"/>
        <v>0</v>
      </c>
      <c r="I86" s="11">
        <f t="shared" si="41"/>
        <v>0</v>
      </c>
      <c r="J86" s="12">
        <f t="shared" si="42"/>
        <v>0</v>
      </c>
      <c r="K86" s="11">
        <f t="shared" si="43"/>
        <v>0</v>
      </c>
      <c r="L86" s="12">
        <f t="shared" si="44"/>
        <v>0</v>
      </c>
      <c r="M86" s="12">
        <f t="shared" si="45"/>
        <v>0</v>
      </c>
      <c r="N86" s="11">
        <f t="shared" si="46"/>
        <v>0</v>
      </c>
      <c r="O86" s="12">
        <f t="shared" si="47"/>
        <v>0</v>
      </c>
      <c r="P86" s="11">
        <f t="shared" si="48"/>
        <v>0</v>
      </c>
      <c r="Q86" s="12">
        <f t="shared" si="49"/>
        <v>0</v>
      </c>
      <c r="R86" s="11">
        <f t="shared" si="50"/>
        <v>0</v>
      </c>
      <c r="S86" s="12">
        <f t="shared" si="51"/>
        <v>0</v>
      </c>
      <c r="T86" s="12">
        <f t="shared" si="52"/>
        <v>0</v>
      </c>
      <c r="U86" s="12">
        <f t="shared" si="53"/>
        <v>0</v>
      </c>
      <c r="V86" s="11">
        <f t="shared" si="54"/>
        <v>0</v>
      </c>
      <c r="W86" s="11">
        <f t="shared" si="55"/>
        <v>0</v>
      </c>
      <c r="X86" s="11">
        <f t="shared" si="56"/>
        <v>0</v>
      </c>
      <c r="Y86" s="11">
        <f t="shared" si="57"/>
        <v>0</v>
      </c>
      <c r="Z86" s="12">
        <f t="shared" si="58"/>
        <v>0</v>
      </c>
      <c r="AA86" s="11">
        <f t="shared" si="59"/>
        <v>0</v>
      </c>
      <c r="AB86" s="11">
        <f t="shared" si="60"/>
        <v>0</v>
      </c>
      <c r="AC86" s="11">
        <f t="shared" si="61"/>
        <v>0</v>
      </c>
      <c r="AD86" s="11">
        <f t="shared" si="62"/>
        <v>0</v>
      </c>
      <c r="AE86" s="13">
        <f t="shared" si="63"/>
        <v>0</v>
      </c>
      <c r="AF86" s="13">
        <f t="shared" si="64"/>
        <v>0</v>
      </c>
      <c r="AG86" s="11">
        <f t="shared" si="65"/>
        <v>0</v>
      </c>
      <c r="AH86" s="14" t="str">
        <f t="shared" si="34"/>
        <v>InvalidSymbolDetails</v>
      </c>
      <c r="AI86" s="12">
        <f t="shared" si="66"/>
        <v>0</v>
      </c>
    </row>
    <row r="87" spans="1:35" x14ac:dyDescent="0.25">
      <c r="A87" s="9"/>
      <c r="B87" s="9"/>
      <c r="C87" s="10" t="str">
        <f t="shared" si="35"/>
        <v/>
      </c>
      <c r="D87" s="11">
        <f t="shared" si="36"/>
        <v>0</v>
      </c>
      <c r="E87" s="11">
        <f t="shared" si="37"/>
        <v>0</v>
      </c>
      <c r="F87" s="11">
        <f t="shared" si="38"/>
        <v>0</v>
      </c>
      <c r="G87" s="12">
        <f t="shared" si="39"/>
        <v>0</v>
      </c>
      <c r="H87" s="11">
        <f t="shared" si="40"/>
        <v>0</v>
      </c>
      <c r="I87" s="11">
        <f t="shared" si="41"/>
        <v>0</v>
      </c>
      <c r="J87" s="12">
        <f t="shared" si="42"/>
        <v>0</v>
      </c>
      <c r="K87" s="11">
        <f t="shared" si="43"/>
        <v>0</v>
      </c>
      <c r="L87" s="12">
        <f t="shared" si="44"/>
        <v>0</v>
      </c>
      <c r="M87" s="12">
        <f t="shared" si="45"/>
        <v>0</v>
      </c>
      <c r="N87" s="11">
        <f t="shared" si="46"/>
        <v>0</v>
      </c>
      <c r="O87" s="12">
        <f t="shared" si="47"/>
        <v>0</v>
      </c>
      <c r="P87" s="11">
        <f t="shared" si="48"/>
        <v>0</v>
      </c>
      <c r="Q87" s="12">
        <f t="shared" si="49"/>
        <v>0</v>
      </c>
      <c r="R87" s="11">
        <f t="shared" si="50"/>
        <v>0</v>
      </c>
      <c r="S87" s="12">
        <f t="shared" si="51"/>
        <v>0</v>
      </c>
      <c r="T87" s="12">
        <f t="shared" si="52"/>
        <v>0</v>
      </c>
      <c r="U87" s="12">
        <f t="shared" si="53"/>
        <v>0</v>
      </c>
      <c r="V87" s="11">
        <f t="shared" si="54"/>
        <v>0</v>
      </c>
      <c r="W87" s="11">
        <f t="shared" si="55"/>
        <v>0</v>
      </c>
      <c r="X87" s="11">
        <f t="shared" si="56"/>
        <v>0</v>
      </c>
      <c r="Y87" s="11">
        <f t="shared" si="57"/>
        <v>0</v>
      </c>
      <c r="Z87" s="12">
        <f t="shared" si="58"/>
        <v>0</v>
      </c>
      <c r="AA87" s="11">
        <f t="shared" si="59"/>
        <v>0</v>
      </c>
      <c r="AB87" s="11">
        <f t="shared" si="60"/>
        <v>0</v>
      </c>
      <c r="AC87" s="11">
        <f t="shared" si="61"/>
        <v>0</v>
      </c>
      <c r="AD87" s="11">
        <f t="shared" si="62"/>
        <v>0</v>
      </c>
      <c r="AE87" s="13">
        <f t="shared" si="63"/>
        <v>0</v>
      </c>
      <c r="AF87" s="13">
        <f t="shared" si="64"/>
        <v>0</v>
      </c>
      <c r="AG87" s="11">
        <f t="shared" si="65"/>
        <v>0</v>
      </c>
      <c r="AH87" s="14" t="str">
        <f t="shared" si="34"/>
        <v>InvalidSymbolDetails</v>
      </c>
      <c r="AI87" s="12">
        <f t="shared" si="66"/>
        <v>0</v>
      </c>
    </row>
    <row r="88" spans="1:35" x14ac:dyDescent="0.25">
      <c r="A88" s="9"/>
      <c r="B88" s="9"/>
      <c r="C88" s="10" t="str">
        <f t="shared" si="35"/>
        <v/>
      </c>
      <c r="D88" s="11">
        <f t="shared" si="36"/>
        <v>0</v>
      </c>
      <c r="E88" s="11">
        <f t="shared" si="37"/>
        <v>0</v>
      </c>
      <c r="F88" s="11">
        <f t="shared" si="38"/>
        <v>0</v>
      </c>
      <c r="G88" s="12">
        <f t="shared" si="39"/>
        <v>0</v>
      </c>
      <c r="H88" s="11">
        <f t="shared" si="40"/>
        <v>0</v>
      </c>
      <c r="I88" s="11">
        <f t="shared" si="41"/>
        <v>0</v>
      </c>
      <c r="J88" s="12">
        <f t="shared" si="42"/>
        <v>0</v>
      </c>
      <c r="K88" s="11">
        <f t="shared" si="43"/>
        <v>0</v>
      </c>
      <c r="L88" s="12">
        <f t="shared" si="44"/>
        <v>0</v>
      </c>
      <c r="M88" s="12">
        <f t="shared" si="45"/>
        <v>0</v>
      </c>
      <c r="N88" s="11">
        <f t="shared" si="46"/>
        <v>0</v>
      </c>
      <c r="O88" s="12">
        <f t="shared" si="47"/>
        <v>0</v>
      </c>
      <c r="P88" s="11">
        <f t="shared" si="48"/>
        <v>0</v>
      </c>
      <c r="Q88" s="12">
        <f t="shared" si="49"/>
        <v>0</v>
      </c>
      <c r="R88" s="11">
        <f t="shared" si="50"/>
        <v>0</v>
      </c>
      <c r="S88" s="12">
        <f t="shared" si="51"/>
        <v>0</v>
      </c>
      <c r="T88" s="12">
        <f t="shared" si="52"/>
        <v>0</v>
      </c>
      <c r="U88" s="12">
        <f t="shared" si="53"/>
        <v>0</v>
      </c>
      <c r="V88" s="11">
        <f t="shared" si="54"/>
        <v>0</v>
      </c>
      <c r="W88" s="11">
        <f t="shared" si="55"/>
        <v>0</v>
      </c>
      <c r="X88" s="11">
        <f t="shared" si="56"/>
        <v>0</v>
      </c>
      <c r="Y88" s="11">
        <f t="shared" si="57"/>
        <v>0</v>
      </c>
      <c r="Z88" s="12">
        <f t="shared" si="58"/>
        <v>0</v>
      </c>
      <c r="AA88" s="11">
        <f t="shared" si="59"/>
        <v>0</v>
      </c>
      <c r="AB88" s="11">
        <f t="shared" si="60"/>
        <v>0</v>
      </c>
      <c r="AC88" s="11">
        <f t="shared" si="61"/>
        <v>0</v>
      </c>
      <c r="AD88" s="11">
        <f t="shared" si="62"/>
        <v>0</v>
      </c>
      <c r="AE88" s="13">
        <f t="shared" si="63"/>
        <v>0</v>
      </c>
      <c r="AF88" s="13">
        <f t="shared" si="64"/>
        <v>0</v>
      </c>
      <c r="AG88" s="11">
        <f t="shared" si="65"/>
        <v>0</v>
      </c>
      <c r="AH88" s="14" t="str">
        <f t="shared" si="34"/>
        <v>InvalidSymbolDetails</v>
      </c>
      <c r="AI88" s="12">
        <f t="shared" si="66"/>
        <v>0</v>
      </c>
    </row>
    <row r="89" spans="1:35" x14ac:dyDescent="0.25">
      <c r="A89" s="9"/>
      <c r="B89" s="9"/>
      <c r="C89" s="10" t="str">
        <f t="shared" si="35"/>
        <v/>
      </c>
      <c r="D89" s="11">
        <f t="shared" si="36"/>
        <v>0</v>
      </c>
      <c r="E89" s="11">
        <f t="shared" si="37"/>
        <v>0</v>
      </c>
      <c r="F89" s="11">
        <f t="shared" si="38"/>
        <v>0</v>
      </c>
      <c r="G89" s="12">
        <f t="shared" si="39"/>
        <v>0</v>
      </c>
      <c r="H89" s="11">
        <f t="shared" si="40"/>
        <v>0</v>
      </c>
      <c r="I89" s="11">
        <f t="shared" si="41"/>
        <v>0</v>
      </c>
      <c r="J89" s="12">
        <f t="shared" si="42"/>
        <v>0</v>
      </c>
      <c r="K89" s="11">
        <f t="shared" si="43"/>
        <v>0</v>
      </c>
      <c r="L89" s="12">
        <f t="shared" si="44"/>
        <v>0</v>
      </c>
      <c r="M89" s="12">
        <f t="shared" si="45"/>
        <v>0</v>
      </c>
      <c r="N89" s="11">
        <f t="shared" si="46"/>
        <v>0</v>
      </c>
      <c r="O89" s="12">
        <f t="shared" si="47"/>
        <v>0</v>
      </c>
      <c r="P89" s="11">
        <f t="shared" si="48"/>
        <v>0</v>
      </c>
      <c r="Q89" s="12">
        <f t="shared" si="49"/>
        <v>0</v>
      </c>
      <c r="R89" s="11">
        <f t="shared" si="50"/>
        <v>0</v>
      </c>
      <c r="S89" s="12">
        <f t="shared" si="51"/>
        <v>0</v>
      </c>
      <c r="T89" s="12">
        <f t="shared" si="52"/>
        <v>0</v>
      </c>
      <c r="U89" s="12">
        <f t="shared" si="53"/>
        <v>0</v>
      </c>
      <c r="V89" s="11">
        <f t="shared" si="54"/>
        <v>0</v>
      </c>
      <c r="W89" s="11">
        <f t="shared" si="55"/>
        <v>0</v>
      </c>
      <c r="X89" s="11">
        <f t="shared" si="56"/>
        <v>0</v>
      </c>
      <c r="Y89" s="11">
        <f t="shared" si="57"/>
        <v>0</v>
      </c>
      <c r="Z89" s="12">
        <f t="shared" si="58"/>
        <v>0</v>
      </c>
      <c r="AA89" s="11">
        <f t="shared" si="59"/>
        <v>0</v>
      </c>
      <c r="AB89" s="11">
        <f t="shared" si="60"/>
        <v>0</v>
      </c>
      <c r="AC89" s="11">
        <f t="shared" si="61"/>
        <v>0</v>
      </c>
      <c r="AD89" s="11">
        <f t="shared" si="62"/>
        <v>0</v>
      </c>
      <c r="AE89" s="13">
        <f t="shared" si="63"/>
        <v>0</v>
      </c>
      <c r="AF89" s="13">
        <f t="shared" si="64"/>
        <v>0</v>
      </c>
      <c r="AG89" s="11">
        <f t="shared" si="65"/>
        <v>0</v>
      </c>
      <c r="AH89" s="14" t="str">
        <f t="shared" si="34"/>
        <v>InvalidSymbolDetails</v>
      </c>
      <c r="AI89" s="12">
        <f t="shared" si="66"/>
        <v>0</v>
      </c>
    </row>
    <row r="90" spans="1:35" x14ac:dyDescent="0.25">
      <c r="A90" s="9"/>
      <c r="B90" s="9"/>
      <c r="C90" s="10" t="str">
        <f t="shared" si="35"/>
        <v/>
      </c>
      <c r="D90" s="11">
        <f t="shared" si="36"/>
        <v>0</v>
      </c>
      <c r="E90" s="11">
        <f t="shared" si="37"/>
        <v>0</v>
      </c>
      <c r="F90" s="11">
        <f t="shared" si="38"/>
        <v>0</v>
      </c>
      <c r="G90" s="12">
        <f t="shared" si="39"/>
        <v>0</v>
      </c>
      <c r="H90" s="11">
        <f t="shared" si="40"/>
        <v>0</v>
      </c>
      <c r="I90" s="11">
        <f t="shared" si="41"/>
        <v>0</v>
      </c>
      <c r="J90" s="12">
        <f t="shared" si="42"/>
        <v>0</v>
      </c>
      <c r="K90" s="11">
        <f t="shared" si="43"/>
        <v>0</v>
      </c>
      <c r="L90" s="12">
        <f t="shared" si="44"/>
        <v>0</v>
      </c>
      <c r="M90" s="12">
        <f t="shared" si="45"/>
        <v>0</v>
      </c>
      <c r="N90" s="11">
        <f t="shared" si="46"/>
        <v>0</v>
      </c>
      <c r="O90" s="12">
        <f t="shared" si="47"/>
        <v>0</v>
      </c>
      <c r="P90" s="11">
        <f t="shared" si="48"/>
        <v>0</v>
      </c>
      <c r="Q90" s="12">
        <f t="shared" si="49"/>
        <v>0</v>
      </c>
      <c r="R90" s="11">
        <f t="shared" si="50"/>
        <v>0</v>
      </c>
      <c r="S90" s="12">
        <f t="shared" si="51"/>
        <v>0</v>
      </c>
      <c r="T90" s="12">
        <f t="shared" si="52"/>
        <v>0</v>
      </c>
      <c r="U90" s="12">
        <f t="shared" si="53"/>
        <v>0</v>
      </c>
      <c r="V90" s="11">
        <f t="shared" si="54"/>
        <v>0</v>
      </c>
      <c r="W90" s="11">
        <f t="shared" si="55"/>
        <v>0</v>
      </c>
      <c r="X90" s="11">
        <f t="shared" si="56"/>
        <v>0</v>
      </c>
      <c r="Y90" s="11">
        <f t="shared" si="57"/>
        <v>0</v>
      </c>
      <c r="Z90" s="12">
        <f t="shared" si="58"/>
        <v>0</v>
      </c>
      <c r="AA90" s="11">
        <f t="shared" si="59"/>
        <v>0</v>
      </c>
      <c r="AB90" s="11">
        <f t="shared" si="60"/>
        <v>0</v>
      </c>
      <c r="AC90" s="11">
        <f t="shared" si="61"/>
        <v>0</v>
      </c>
      <c r="AD90" s="11">
        <f t="shared" si="62"/>
        <v>0</v>
      </c>
      <c r="AE90" s="13">
        <f t="shared" si="63"/>
        <v>0</v>
      </c>
      <c r="AF90" s="13">
        <f t="shared" si="64"/>
        <v>0</v>
      </c>
      <c r="AG90" s="11">
        <f t="shared" si="65"/>
        <v>0</v>
      </c>
      <c r="AH90" s="14" t="str">
        <f t="shared" si="34"/>
        <v>InvalidSymbolDetails</v>
      </c>
      <c r="AI90" s="12">
        <f t="shared" si="66"/>
        <v>0</v>
      </c>
    </row>
    <row r="91" spans="1:35" x14ac:dyDescent="0.25">
      <c r="A91" s="9"/>
      <c r="B91" s="9"/>
      <c r="C91" s="10" t="str">
        <f t="shared" si="35"/>
        <v/>
      </c>
      <c r="D91" s="11">
        <f t="shared" si="36"/>
        <v>0</v>
      </c>
      <c r="E91" s="11">
        <f t="shared" si="37"/>
        <v>0</v>
      </c>
      <c r="F91" s="11">
        <f t="shared" si="38"/>
        <v>0</v>
      </c>
      <c r="G91" s="12">
        <f t="shared" si="39"/>
        <v>0</v>
      </c>
      <c r="H91" s="11">
        <f t="shared" si="40"/>
        <v>0</v>
      </c>
      <c r="I91" s="11">
        <f t="shared" si="41"/>
        <v>0</v>
      </c>
      <c r="J91" s="12">
        <f t="shared" si="42"/>
        <v>0</v>
      </c>
      <c r="K91" s="11">
        <f t="shared" si="43"/>
        <v>0</v>
      </c>
      <c r="L91" s="12">
        <f t="shared" si="44"/>
        <v>0</v>
      </c>
      <c r="M91" s="12">
        <f t="shared" si="45"/>
        <v>0</v>
      </c>
      <c r="N91" s="11">
        <f t="shared" si="46"/>
        <v>0</v>
      </c>
      <c r="O91" s="12">
        <f t="shared" si="47"/>
        <v>0</v>
      </c>
      <c r="P91" s="11">
        <f t="shared" si="48"/>
        <v>0</v>
      </c>
      <c r="Q91" s="12">
        <f t="shared" si="49"/>
        <v>0</v>
      </c>
      <c r="R91" s="11">
        <f t="shared" si="50"/>
        <v>0</v>
      </c>
      <c r="S91" s="12">
        <f t="shared" si="51"/>
        <v>0</v>
      </c>
      <c r="T91" s="12">
        <f t="shared" si="52"/>
        <v>0</v>
      </c>
      <c r="U91" s="12">
        <f t="shared" si="53"/>
        <v>0</v>
      </c>
      <c r="V91" s="11">
        <f t="shared" si="54"/>
        <v>0</v>
      </c>
      <c r="W91" s="11">
        <f t="shared" si="55"/>
        <v>0</v>
      </c>
      <c r="X91" s="11">
        <f t="shared" si="56"/>
        <v>0</v>
      </c>
      <c r="Y91" s="11">
        <f t="shared" si="57"/>
        <v>0</v>
      </c>
      <c r="Z91" s="12">
        <f t="shared" si="58"/>
        <v>0</v>
      </c>
      <c r="AA91" s="11">
        <f t="shared" si="59"/>
        <v>0</v>
      </c>
      <c r="AB91" s="11">
        <f t="shared" si="60"/>
        <v>0</v>
      </c>
      <c r="AC91" s="11">
        <f t="shared" si="61"/>
        <v>0</v>
      </c>
      <c r="AD91" s="11">
        <f t="shared" si="62"/>
        <v>0</v>
      </c>
      <c r="AE91" s="13">
        <f t="shared" si="63"/>
        <v>0</v>
      </c>
      <c r="AF91" s="13">
        <f t="shared" si="64"/>
        <v>0</v>
      </c>
      <c r="AG91" s="11">
        <f t="shared" si="65"/>
        <v>0</v>
      </c>
      <c r="AH91" s="14" t="str">
        <f t="shared" si="34"/>
        <v>InvalidSymbolDetails</v>
      </c>
      <c r="AI91" s="12">
        <f t="shared" si="66"/>
        <v>0</v>
      </c>
    </row>
    <row r="92" spans="1:35" x14ac:dyDescent="0.25">
      <c r="A92" s="9"/>
      <c r="B92" s="9"/>
      <c r="C92" s="10" t="str">
        <f t="shared" si="35"/>
        <v/>
      </c>
      <c r="D92" s="11">
        <f t="shared" si="36"/>
        <v>0</v>
      </c>
      <c r="E92" s="11">
        <f t="shared" si="37"/>
        <v>0</v>
      </c>
      <c r="F92" s="11">
        <f t="shared" si="38"/>
        <v>0</v>
      </c>
      <c r="G92" s="12">
        <f t="shared" si="39"/>
        <v>0</v>
      </c>
      <c r="H92" s="11">
        <f t="shared" si="40"/>
        <v>0</v>
      </c>
      <c r="I92" s="11">
        <f t="shared" si="41"/>
        <v>0</v>
      </c>
      <c r="J92" s="12">
        <f t="shared" si="42"/>
        <v>0</v>
      </c>
      <c r="K92" s="11">
        <f t="shared" si="43"/>
        <v>0</v>
      </c>
      <c r="L92" s="12">
        <f t="shared" si="44"/>
        <v>0</v>
      </c>
      <c r="M92" s="12">
        <f t="shared" si="45"/>
        <v>0</v>
      </c>
      <c r="N92" s="11">
        <f t="shared" si="46"/>
        <v>0</v>
      </c>
      <c r="O92" s="12">
        <f t="shared" si="47"/>
        <v>0</v>
      </c>
      <c r="P92" s="11">
        <f t="shared" si="48"/>
        <v>0</v>
      </c>
      <c r="Q92" s="12">
        <f t="shared" si="49"/>
        <v>0</v>
      </c>
      <c r="R92" s="11">
        <f t="shared" si="50"/>
        <v>0</v>
      </c>
      <c r="S92" s="12">
        <f t="shared" si="51"/>
        <v>0</v>
      </c>
      <c r="T92" s="12">
        <f t="shared" si="52"/>
        <v>0</v>
      </c>
      <c r="U92" s="12">
        <f t="shared" si="53"/>
        <v>0</v>
      </c>
      <c r="V92" s="11">
        <f t="shared" si="54"/>
        <v>0</v>
      </c>
      <c r="W92" s="11">
        <f t="shared" si="55"/>
        <v>0</v>
      </c>
      <c r="X92" s="11">
        <f t="shared" si="56"/>
        <v>0</v>
      </c>
      <c r="Y92" s="11">
        <f t="shared" si="57"/>
        <v>0</v>
      </c>
      <c r="Z92" s="12">
        <f t="shared" si="58"/>
        <v>0</v>
      </c>
      <c r="AA92" s="11">
        <f t="shared" si="59"/>
        <v>0</v>
      </c>
      <c r="AB92" s="11">
        <f t="shared" si="60"/>
        <v>0</v>
      </c>
      <c r="AC92" s="11">
        <f t="shared" si="61"/>
        <v>0</v>
      </c>
      <c r="AD92" s="11">
        <f t="shared" si="62"/>
        <v>0</v>
      </c>
      <c r="AE92" s="13">
        <f t="shared" si="63"/>
        <v>0</v>
      </c>
      <c r="AF92" s="13">
        <f t="shared" si="64"/>
        <v>0</v>
      </c>
      <c r="AG92" s="11">
        <f t="shared" si="65"/>
        <v>0</v>
      </c>
      <c r="AH92" s="14" t="str">
        <f t="shared" si="34"/>
        <v>InvalidSymbolDetails</v>
      </c>
      <c r="AI92" s="12">
        <f t="shared" si="66"/>
        <v>0</v>
      </c>
    </row>
    <row r="93" spans="1:35" x14ac:dyDescent="0.25">
      <c r="A93" s="9"/>
      <c r="B93" s="9"/>
      <c r="C93" s="10" t="str">
        <f t="shared" si="35"/>
        <v/>
      </c>
      <c r="D93" s="11">
        <f t="shared" si="36"/>
        <v>0</v>
      </c>
      <c r="E93" s="11">
        <f t="shared" si="37"/>
        <v>0</v>
      </c>
      <c r="F93" s="11">
        <f t="shared" si="38"/>
        <v>0</v>
      </c>
      <c r="G93" s="12">
        <f t="shared" si="39"/>
        <v>0</v>
      </c>
      <c r="H93" s="11">
        <f t="shared" si="40"/>
        <v>0</v>
      </c>
      <c r="I93" s="11">
        <f t="shared" si="41"/>
        <v>0</v>
      </c>
      <c r="J93" s="12">
        <f t="shared" si="42"/>
        <v>0</v>
      </c>
      <c r="K93" s="11">
        <f t="shared" si="43"/>
        <v>0</v>
      </c>
      <c r="L93" s="12">
        <f t="shared" si="44"/>
        <v>0</v>
      </c>
      <c r="M93" s="12">
        <f t="shared" si="45"/>
        <v>0</v>
      </c>
      <c r="N93" s="11">
        <f t="shared" si="46"/>
        <v>0</v>
      </c>
      <c r="O93" s="12">
        <f t="shared" si="47"/>
        <v>0</v>
      </c>
      <c r="P93" s="11">
        <f t="shared" si="48"/>
        <v>0</v>
      </c>
      <c r="Q93" s="12">
        <f t="shared" si="49"/>
        <v>0</v>
      </c>
      <c r="R93" s="11">
        <f t="shared" si="50"/>
        <v>0</v>
      </c>
      <c r="S93" s="12">
        <f t="shared" si="51"/>
        <v>0</v>
      </c>
      <c r="T93" s="12">
        <f t="shared" si="52"/>
        <v>0</v>
      </c>
      <c r="U93" s="12">
        <f t="shared" si="53"/>
        <v>0</v>
      </c>
      <c r="V93" s="11">
        <f t="shared" si="54"/>
        <v>0</v>
      </c>
      <c r="W93" s="11">
        <f t="shared" si="55"/>
        <v>0</v>
      </c>
      <c r="X93" s="11">
        <f t="shared" si="56"/>
        <v>0</v>
      </c>
      <c r="Y93" s="11">
        <f t="shared" si="57"/>
        <v>0</v>
      </c>
      <c r="Z93" s="12">
        <f t="shared" si="58"/>
        <v>0</v>
      </c>
      <c r="AA93" s="11">
        <f t="shared" si="59"/>
        <v>0</v>
      </c>
      <c r="AB93" s="11">
        <f t="shared" si="60"/>
        <v>0</v>
      </c>
      <c r="AC93" s="11">
        <f t="shared" si="61"/>
        <v>0</v>
      </c>
      <c r="AD93" s="11">
        <f t="shared" si="62"/>
        <v>0</v>
      </c>
      <c r="AE93" s="13">
        <f t="shared" si="63"/>
        <v>0</v>
      </c>
      <c r="AF93" s="13">
        <f t="shared" si="64"/>
        <v>0</v>
      </c>
      <c r="AG93" s="11">
        <f t="shared" si="65"/>
        <v>0</v>
      </c>
      <c r="AH93" s="14" t="str">
        <f t="shared" si="34"/>
        <v>InvalidSymbolDetails</v>
      </c>
      <c r="AI93" s="12">
        <f t="shared" si="66"/>
        <v>0</v>
      </c>
    </row>
    <row r="94" spans="1:35" x14ac:dyDescent="0.25">
      <c r="A94" s="9"/>
      <c r="B94" s="9"/>
      <c r="C94" s="10" t="str">
        <f t="shared" si="35"/>
        <v/>
      </c>
      <c r="D94" s="11">
        <f t="shared" si="36"/>
        <v>0</v>
      </c>
      <c r="E94" s="11">
        <f t="shared" si="37"/>
        <v>0</v>
      </c>
      <c r="F94" s="11">
        <f t="shared" si="38"/>
        <v>0</v>
      </c>
      <c r="G94" s="12">
        <f t="shared" si="39"/>
        <v>0</v>
      </c>
      <c r="H94" s="11">
        <f t="shared" si="40"/>
        <v>0</v>
      </c>
      <c r="I94" s="11">
        <f t="shared" si="41"/>
        <v>0</v>
      </c>
      <c r="J94" s="12">
        <f t="shared" si="42"/>
        <v>0</v>
      </c>
      <c r="K94" s="11">
        <f t="shared" si="43"/>
        <v>0</v>
      </c>
      <c r="L94" s="12">
        <f t="shared" si="44"/>
        <v>0</v>
      </c>
      <c r="M94" s="12">
        <f t="shared" si="45"/>
        <v>0</v>
      </c>
      <c r="N94" s="11">
        <f t="shared" si="46"/>
        <v>0</v>
      </c>
      <c r="O94" s="12">
        <f t="shared" si="47"/>
        <v>0</v>
      </c>
      <c r="P94" s="11">
        <f t="shared" si="48"/>
        <v>0</v>
      </c>
      <c r="Q94" s="12">
        <f t="shared" si="49"/>
        <v>0</v>
      </c>
      <c r="R94" s="11">
        <f t="shared" si="50"/>
        <v>0</v>
      </c>
      <c r="S94" s="12">
        <f t="shared" si="51"/>
        <v>0</v>
      </c>
      <c r="T94" s="12">
        <f t="shared" si="52"/>
        <v>0</v>
      </c>
      <c r="U94" s="12">
        <f t="shared" si="53"/>
        <v>0</v>
      </c>
      <c r="V94" s="11">
        <f t="shared" si="54"/>
        <v>0</v>
      </c>
      <c r="W94" s="11">
        <f t="shared" si="55"/>
        <v>0</v>
      </c>
      <c r="X94" s="11">
        <f t="shared" si="56"/>
        <v>0</v>
      </c>
      <c r="Y94" s="11">
        <f t="shared" si="57"/>
        <v>0</v>
      </c>
      <c r="Z94" s="12">
        <f t="shared" si="58"/>
        <v>0</v>
      </c>
      <c r="AA94" s="11">
        <f t="shared" si="59"/>
        <v>0</v>
      </c>
      <c r="AB94" s="11">
        <f t="shared" si="60"/>
        <v>0</v>
      </c>
      <c r="AC94" s="11">
        <f t="shared" si="61"/>
        <v>0</v>
      </c>
      <c r="AD94" s="11">
        <f t="shared" si="62"/>
        <v>0</v>
      </c>
      <c r="AE94" s="13">
        <f t="shared" si="63"/>
        <v>0</v>
      </c>
      <c r="AF94" s="13">
        <f t="shared" si="64"/>
        <v>0</v>
      </c>
      <c r="AG94" s="11">
        <f t="shared" si="65"/>
        <v>0</v>
      </c>
      <c r="AH94" s="14" t="str">
        <f t="shared" si="34"/>
        <v>InvalidSymbolDetails</v>
      </c>
      <c r="AI94" s="12">
        <f t="shared" si="66"/>
        <v>0</v>
      </c>
    </row>
    <row r="95" spans="1:35" x14ac:dyDescent="0.25">
      <c r="A95" s="9"/>
      <c r="B95" s="9"/>
      <c r="C95" s="10" t="str">
        <f t="shared" si="35"/>
        <v/>
      </c>
      <c r="D95" s="11">
        <f t="shared" si="36"/>
        <v>0</v>
      </c>
      <c r="E95" s="11">
        <f t="shared" si="37"/>
        <v>0</v>
      </c>
      <c r="F95" s="11">
        <f t="shared" si="38"/>
        <v>0</v>
      </c>
      <c r="G95" s="12">
        <f t="shared" si="39"/>
        <v>0</v>
      </c>
      <c r="H95" s="11">
        <f t="shared" si="40"/>
        <v>0</v>
      </c>
      <c r="I95" s="11">
        <f t="shared" si="41"/>
        <v>0</v>
      </c>
      <c r="J95" s="12">
        <f t="shared" si="42"/>
        <v>0</v>
      </c>
      <c r="K95" s="11">
        <f t="shared" si="43"/>
        <v>0</v>
      </c>
      <c r="L95" s="12">
        <f t="shared" si="44"/>
        <v>0</v>
      </c>
      <c r="M95" s="12">
        <f t="shared" si="45"/>
        <v>0</v>
      </c>
      <c r="N95" s="11">
        <f t="shared" si="46"/>
        <v>0</v>
      </c>
      <c r="O95" s="12">
        <f t="shared" si="47"/>
        <v>0</v>
      </c>
      <c r="P95" s="11">
        <f t="shared" si="48"/>
        <v>0</v>
      </c>
      <c r="Q95" s="12">
        <f t="shared" si="49"/>
        <v>0</v>
      </c>
      <c r="R95" s="11">
        <f t="shared" si="50"/>
        <v>0</v>
      </c>
      <c r="S95" s="12">
        <f t="shared" si="51"/>
        <v>0</v>
      </c>
      <c r="T95" s="12">
        <f t="shared" si="52"/>
        <v>0</v>
      </c>
      <c r="U95" s="12">
        <f t="shared" si="53"/>
        <v>0</v>
      </c>
      <c r="V95" s="11">
        <f t="shared" si="54"/>
        <v>0</v>
      </c>
      <c r="W95" s="11">
        <f t="shared" si="55"/>
        <v>0</v>
      </c>
      <c r="X95" s="11">
        <f t="shared" si="56"/>
        <v>0</v>
      </c>
      <c r="Y95" s="11">
        <f t="shared" si="57"/>
        <v>0</v>
      </c>
      <c r="Z95" s="12">
        <f t="shared" si="58"/>
        <v>0</v>
      </c>
      <c r="AA95" s="11">
        <f t="shared" si="59"/>
        <v>0</v>
      </c>
      <c r="AB95" s="11">
        <f t="shared" si="60"/>
        <v>0</v>
      </c>
      <c r="AC95" s="11">
        <f t="shared" si="61"/>
        <v>0</v>
      </c>
      <c r="AD95" s="11">
        <f t="shared" si="62"/>
        <v>0</v>
      </c>
      <c r="AE95" s="13">
        <f t="shared" si="63"/>
        <v>0</v>
      </c>
      <c r="AF95" s="13">
        <f t="shared" si="64"/>
        <v>0</v>
      </c>
      <c r="AG95" s="11">
        <f t="shared" si="65"/>
        <v>0</v>
      </c>
      <c r="AH95" s="14" t="str">
        <f t="shared" si="34"/>
        <v>InvalidSymbolDetails</v>
      </c>
      <c r="AI95" s="12">
        <f t="shared" si="66"/>
        <v>0</v>
      </c>
    </row>
    <row r="96" spans="1:35" x14ac:dyDescent="0.25">
      <c r="A96" s="9"/>
      <c r="B96" s="9"/>
      <c r="C96" s="10" t="str">
        <f t="shared" si="35"/>
        <v/>
      </c>
      <c r="D96" s="11">
        <f t="shared" si="36"/>
        <v>0</v>
      </c>
      <c r="E96" s="11">
        <f t="shared" si="37"/>
        <v>0</v>
      </c>
      <c r="F96" s="11">
        <f t="shared" si="38"/>
        <v>0</v>
      </c>
      <c r="G96" s="12">
        <f t="shared" si="39"/>
        <v>0</v>
      </c>
      <c r="H96" s="11">
        <f t="shared" si="40"/>
        <v>0</v>
      </c>
      <c r="I96" s="11">
        <f t="shared" si="41"/>
        <v>0</v>
      </c>
      <c r="J96" s="12">
        <f t="shared" si="42"/>
        <v>0</v>
      </c>
      <c r="K96" s="11">
        <f t="shared" si="43"/>
        <v>0</v>
      </c>
      <c r="L96" s="12">
        <f t="shared" si="44"/>
        <v>0</v>
      </c>
      <c r="M96" s="12">
        <f t="shared" si="45"/>
        <v>0</v>
      </c>
      <c r="N96" s="11">
        <f t="shared" si="46"/>
        <v>0</v>
      </c>
      <c r="O96" s="12">
        <f t="shared" si="47"/>
        <v>0</v>
      </c>
      <c r="P96" s="11">
        <f t="shared" si="48"/>
        <v>0</v>
      </c>
      <c r="Q96" s="12">
        <f t="shared" si="49"/>
        <v>0</v>
      </c>
      <c r="R96" s="11">
        <f t="shared" si="50"/>
        <v>0</v>
      </c>
      <c r="S96" s="12">
        <f t="shared" si="51"/>
        <v>0</v>
      </c>
      <c r="T96" s="12">
        <f t="shared" si="52"/>
        <v>0</v>
      </c>
      <c r="U96" s="12">
        <f t="shared" si="53"/>
        <v>0</v>
      </c>
      <c r="V96" s="11">
        <f t="shared" si="54"/>
        <v>0</v>
      </c>
      <c r="W96" s="11">
        <f t="shared" si="55"/>
        <v>0</v>
      </c>
      <c r="X96" s="11">
        <f t="shared" si="56"/>
        <v>0</v>
      </c>
      <c r="Y96" s="11">
        <f t="shared" si="57"/>
        <v>0</v>
      </c>
      <c r="Z96" s="12">
        <f t="shared" si="58"/>
        <v>0</v>
      </c>
      <c r="AA96" s="11">
        <f t="shared" si="59"/>
        <v>0</v>
      </c>
      <c r="AB96" s="11">
        <f t="shared" si="60"/>
        <v>0</v>
      </c>
      <c r="AC96" s="11">
        <f t="shared" si="61"/>
        <v>0</v>
      </c>
      <c r="AD96" s="11">
        <f t="shared" si="62"/>
        <v>0</v>
      </c>
      <c r="AE96" s="13">
        <f t="shared" si="63"/>
        <v>0</v>
      </c>
      <c r="AF96" s="13">
        <f t="shared" si="64"/>
        <v>0</v>
      </c>
      <c r="AG96" s="11">
        <f t="shared" si="65"/>
        <v>0</v>
      </c>
      <c r="AH96" s="14" t="str">
        <f t="shared" si="34"/>
        <v>InvalidSymbolDetails</v>
      </c>
      <c r="AI96" s="12">
        <f t="shared" si="66"/>
        <v>0</v>
      </c>
    </row>
    <row r="97" spans="1:35" x14ac:dyDescent="0.25">
      <c r="A97" s="9"/>
      <c r="B97" s="9"/>
      <c r="C97" s="10" t="str">
        <f t="shared" si="35"/>
        <v/>
      </c>
      <c r="D97" s="11">
        <f t="shared" si="36"/>
        <v>0</v>
      </c>
      <c r="E97" s="11">
        <f t="shared" si="37"/>
        <v>0</v>
      </c>
      <c r="F97" s="11">
        <f t="shared" si="38"/>
        <v>0</v>
      </c>
      <c r="G97" s="12">
        <f t="shared" si="39"/>
        <v>0</v>
      </c>
      <c r="H97" s="11">
        <f t="shared" si="40"/>
        <v>0</v>
      </c>
      <c r="I97" s="11">
        <f t="shared" si="41"/>
        <v>0</v>
      </c>
      <c r="J97" s="12">
        <f t="shared" si="42"/>
        <v>0</v>
      </c>
      <c r="K97" s="11">
        <f t="shared" si="43"/>
        <v>0</v>
      </c>
      <c r="L97" s="12">
        <f t="shared" si="44"/>
        <v>0</v>
      </c>
      <c r="M97" s="12">
        <f t="shared" si="45"/>
        <v>0</v>
      </c>
      <c r="N97" s="11">
        <f t="shared" si="46"/>
        <v>0</v>
      </c>
      <c r="O97" s="12">
        <f t="shared" si="47"/>
        <v>0</v>
      </c>
      <c r="P97" s="11">
        <f t="shared" si="48"/>
        <v>0</v>
      </c>
      <c r="Q97" s="12">
        <f t="shared" si="49"/>
        <v>0</v>
      </c>
      <c r="R97" s="11">
        <f t="shared" si="50"/>
        <v>0</v>
      </c>
      <c r="S97" s="12">
        <f t="shared" si="51"/>
        <v>0</v>
      </c>
      <c r="T97" s="12">
        <f t="shared" si="52"/>
        <v>0</v>
      </c>
      <c r="U97" s="12">
        <f t="shared" si="53"/>
        <v>0</v>
      </c>
      <c r="V97" s="11">
        <f t="shared" si="54"/>
        <v>0</v>
      </c>
      <c r="W97" s="11">
        <f t="shared" si="55"/>
        <v>0</v>
      </c>
      <c r="X97" s="11">
        <f t="shared" si="56"/>
        <v>0</v>
      </c>
      <c r="Y97" s="11">
        <f t="shared" si="57"/>
        <v>0</v>
      </c>
      <c r="Z97" s="12">
        <f t="shared" si="58"/>
        <v>0</v>
      </c>
      <c r="AA97" s="11">
        <f t="shared" si="59"/>
        <v>0</v>
      </c>
      <c r="AB97" s="11">
        <f t="shared" si="60"/>
        <v>0</v>
      </c>
      <c r="AC97" s="11">
        <f t="shared" si="61"/>
        <v>0</v>
      </c>
      <c r="AD97" s="11">
        <f t="shared" si="62"/>
        <v>0</v>
      </c>
      <c r="AE97" s="13">
        <f t="shared" si="63"/>
        <v>0</v>
      </c>
      <c r="AF97" s="13">
        <f t="shared" si="64"/>
        <v>0</v>
      </c>
      <c r="AG97" s="11">
        <f t="shared" si="65"/>
        <v>0</v>
      </c>
      <c r="AH97" s="14" t="str">
        <f t="shared" si="34"/>
        <v>InvalidSymbolDetails</v>
      </c>
      <c r="AI97" s="12">
        <f t="shared" si="66"/>
        <v>0</v>
      </c>
    </row>
    <row r="98" spans="1:35" x14ac:dyDescent="0.25">
      <c r="A98" s="9"/>
      <c r="B98" s="9"/>
      <c r="C98" s="10" t="str">
        <f t="shared" si="35"/>
        <v/>
      </c>
      <c r="D98" s="11">
        <f t="shared" si="36"/>
        <v>0</v>
      </c>
      <c r="E98" s="11">
        <f t="shared" si="37"/>
        <v>0</v>
      </c>
      <c r="F98" s="11">
        <f t="shared" si="38"/>
        <v>0</v>
      </c>
      <c r="G98" s="12">
        <f t="shared" si="39"/>
        <v>0</v>
      </c>
      <c r="H98" s="11">
        <f t="shared" si="40"/>
        <v>0</v>
      </c>
      <c r="I98" s="11">
        <f t="shared" si="41"/>
        <v>0</v>
      </c>
      <c r="J98" s="12">
        <f t="shared" si="42"/>
        <v>0</v>
      </c>
      <c r="K98" s="11">
        <f t="shared" si="43"/>
        <v>0</v>
      </c>
      <c r="L98" s="12">
        <f t="shared" si="44"/>
        <v>0</v>
      </c>
      <c r="M98" s="12">
        <f t="shared" si="45"/>
        <v>0</v>
      </c>
      <c r="N98" s="11">
        <f t="shared" si="46"/>
        <v>0</v>
      </c>
      <c r="O98" s="12">
        <f t="shared" si="47"/>
        <v>0</v>
      </c>
      <c r="P98" s="11">
        <f t="shared" si="48"/>
        <v>0</v>
      </c>
      <c r="Q98" s="12">
        <f t="shared" si="49"/>
        <v>0</v>
      </c>
      <c r="R98" s="11">
        <f t="shared" si="50"/>
        <v>0</v>
      </c>
      <c r="S98" s="12">
        <f t="shared" si="51"/>
        <v>0</v>
      </c>
      <c r="T98" s="12">
        <f t="shared" si="52"/>
        <v>0</v>
      </c>
      <c r="U98" s="12">
        <f t="shared" si="53"/>
        <v>0</v>
      </c>
      <c r="V98" s="11">
        <f t="shared" si="54"/>
        <v>0</v>
      </c>
      <c r="W98" s="11">
        <f t="shared" si="55"/>
        <v>0</v>
      </c>
      <c r="X98" s="11">
        <f t="shared" si="56"/>
        <v>0</v>
      </c>
      <c r="Y98" s="11">
        <f t="shared" si="57"/>
        <v>0</v>
      </c>
      <c r="Z98" s="12">
        <f t="shared" si="58"/>
        <v>0</v>
      </c>
      <c r="AA98" s="11">
        <f t="shared" si="59"/>
        <v>0</v>
      </c>
      <c r="AB98" s="11">
        <f t="shared" si="60"/>
        <v>0</v>
      </c>
      <c r="AC98" s="11">
        <f t="shared" si="61"/>
        <v>0</v>
      </c>
      <c r="AD98" s="11">
        <f t="shared" si="62"/>
        <v>0</v>
      </c>
      <c r="AE98" s="13">
        <f t="shared" si="63"/>
        <v>0</v>
      </c>
      <c r="AF98" s="13">
        <f t="shared" si="64"/>
        <v>0</v>
      </c>
      <c r="AG98" s="11">
        <f t="shared" si="65"/>
        <v>0</v>
      </c>
      <c r="AH98" s="14" t="str">
        <f t="shared" ref="AH98:AH129" si="67">SubscribeQuotes(A98,B98)</f>
        <v>InvalidSymbolDetails</v>
      </c>
      <c r="AI98" s="12">
        <f t="shared" si="66"/>
        <v>0</v>
      </c>
    </row>
    <row r="99" spans="1:35" x14ac:dyDescent="0.25">
      <c r="A99" s="9"/>
      <c r="B99" s="9"/>
      <c r="C99" s="10" t="str">
        <f t="shared" si="35"/>
        <v/>
      </c>
      <c r="D99" s="11">
        <f t="shared" si="36"/>
        <v>0</v>
      </c>
      <c r="E99" s="11">
        <f t="shared" si="37"/>
        <v>0</v>
      </c>
      <c r="F99" s="11">
        <f t="shared" si="38"/>
        <v>0</v>
      </c>
      <c r="G99" s="12">
        <f t="shared" si="39"/>
        <v>0</v>
      </c>
      <c r="H99" s="11">
        <f t="shared" si="40"/>
        <v>0</v>
      </c>
      <c r="I99" s="11">
        <f t="shared" si="41"/>
        <v>0</v>
      </c>
      <c r="J99" s="12">
        <f t="shared" si="42"/>
        <v>0</v>
      </c>
      <c r="K99" s="11">
        <f t="shared" si="43"/>
        <v>0</v>
      </c>
      <c r="L99" s="12">
        <f t="shared" si="44"/>
        <v>0</v>
      </c>
      <c r="M99" s="12">
        <f t="shared" si="45"/>
        <v>0</v>
      </c>
      <c r="N99" s="11">
        <f t="shared" si="46"/>
        <v>0</v>
      </c>
      <c r="O99" s="12">
        <f t="shared" si="47"/>
        <v>0</v>
      </c>
      <c r="P99" s="11">
        <f t="shared" si="48"/>
        <v>0</v>
      </c>
      <c r="Q99" s="12">
        <f t="shared" si="49"/>
        <v>0</v>
      </c>
      <c r="R99" s="11">
        <f t="shared" si="50"/>
        <v>0</v>
      </c>
      <c r="S99" s="12">
        <f t="shared" si="51"/>
        <v>0</v>
      </c>
      <c r="T99" s="12">
        <f t="shared" si="52"/>
        <v>0</v>
      </c>
      <c r="U99" s="12">
        <f t="shared" si="53"/>
        <v>0</v>
      </c>
      <c r="V99" s="11">
        <f t="shared" si="54"/>
        <v>0</v>
      </c>
      <c r="W99" s="11">
        <f t="shared" si="55"/>
        <v>0</v>
      </c>
      <c r="X99" s="11">
        <f t="shared" si="56"/>
        <v>0</v>
      </c>
      <c r="Y99" s="11">
        <f t="shared" si="57"/>
        <v>0</v>
      </c>
      <c r="Z99" s="12">
        <f t="shared" si="58"/>
        <v>0</v>
      </c>
      <c r="AA99" s="11">
        <f t="shared" si="59"/>
        <v>0</v>
      </c>
      <c r="AB99" s="11">
        <f t="shared" si="60"/>
        <v>0</v>
      </c>
      <c r="AC99" s="11">
        <f t="shared" si="61"/>
        <v>0</v>
      </c>
      <c r="AD99" s="11">
        <f t="shared" si="62"/>
        <v>0</v>
      </c>
      <c r="AE99" s="13">
        <f t="shared" si="63"/>
        <v>0</v>
      </c>
      <c r="AF99" s="13">
        <f t="shared" si="64"/>
        <v>0</v>
      </c>
      <c r="AG99" s="11">
        <f t="shared" si="65"/>
        <v>0</v>
      </c>
      <c r="AH99" s="14" t="str">
        <f t="shared" si="67"/>
        <v>InvalidSymbolDetails</v>
      </c>
      <c r="AI99" s="12">
        <f t="shared" si="66"/>
        <v>0</v>
      </c>
    </row>
    <row r="100" spans="1:35" x14ac:dyDescent="0.25">
      <c r="A100" s="9"/>
      <c r="B100" s="9"/>
      <c r="C100" s="10" t="str">
        <f t="shared" si="35"/>
        <v/>
      </c>
      <c r="D100" s="11">
        <f t="shared" si="36"/>
        <v>0</v>
      </c>
      <c r="E100" s="11">
        <f t="shared" si="37"/>
        <v>0</v>
      </c>
      <c r="F100" s="11">
        <f t="shared" si="38"/>
        <v>0</v>
      </c>
      <c r="G100" s="12">
        <f t="shared" si="39"/>
        <v>0</v>
      </c>
      <c r="H100" s="11">
        <f t="shared" si="40"/>
        <v>0</v>
      </c>
      <c r="I100" s="11">
        <f t="shared" si="41"/>
        <v>0</v>
      </c>
      <c r="J100" s="12">
        <f t="shared" si="42"/>
        <v>0</v>
      </c>
      <c r="K100" s="11">
        <f t="shared" si="43"/>
        <v>0</v>
      </c>
      <c r="L100" s="12">
        <f t="shared" si="44"/>
        <v>0</v>
      </c>
      <c r="M100" s="12">
        <f t="shared" si="45"/>
        <v>0</v>
      </c>
      <c r="N100" s="11">
        <f t="shared" si="46"/>
        <v>0</v>
      </c>
      <c r="O100" s="12">
        <f t="shared" si="47"/>
        <v>0</v>
      </c>
      <c r="P100" s="11">
        <f t="shared" si="48"/>
        <v>0</v>
      </c>
      <c r="Q100" s="12">
        <f t="shared" si="49"/>
        <v>0</v>
      </c>
      <c r="R100" s="11">
        <f t="shared" si="50"/>
        <v>0</v>
      </c>
      <c r="S100" s="12">
        <f t="shared" si="51"/>
        <v>0</v>
      </c>
      <c r="T100" s="12">
        <f t="shared" si="52"/>
        <v>0</v>
      </c>
      <c r="U100" s="12">
        <f t="shared" si="53"/>
        <v>0</v>
      </c>
      <c r="V100" s="11">
        <f t="shared" si="54"/>
        <v>0</v>
      </c>
      <c r="W100" s="11">
        <f t="shared" si="55"/>
        <v>0</v>
      </c>
      <c r="X100" s="11">
        <f t="shared" si="56"/>
        <v>0</v>
      </c>
      <c r="Y100" s="11">
        <f t="shared" si="57"/>
        <v>0</v>
      </c>
      <c r="Z100" s="12">
        <f t="shared" si="58"/>
        <v>0</v>
      </c>
      <c r="AA100" s="11">
        <f t="shared" si="59"/>
        <v>0</v>
      </c>
      <c r="AB100" s="11">
        <f t="shared" si="60"/>
        <v>0</v>
      </c>
      <c r="AC100" s="11">
        <f t="shared" si="61"/>
        <v>0</v>
      </c>
      <c r="AD100" s="11">
        <f t="shared" si="62"/>
        <v>0</v>
      </c>
      <c r="AE100" s="13">
        <f t="shared" si="63"/>
        <v>0</v>
      </c>
      <c r="AF100" s="13">
        <f t="shared" si="64"/>
        <v>0</v>
      </c>
      <c r="AG100" s="11">
        <f t="shared" si="65"/>
        <v>0</v>
      </c>
      <c r="AH100" s="14" t="str">
        <f t="shared" si="67"/>
        <v>InvalidSymbolDetails</v>
      </c>
      <c r="AI100" s="12">
        <f t="shared" si="66"/>
        <v>0</v>
      </c>
    </row>
    <row r="101" spans="1:35" x14ac:dyDescent="0.25">
      <c r="A101" s="9"/>
      <c r="B101" s="9"/>
      <c r="C101" s="10" t="str">
        <f t="shared" si="35"/>
        <v/>
      </c>
      <c r="D101" s="11">
        <f t="shared" si="36"/>
        <v>0</v>
      </c>
      <c r="E101" s="11">
        <f t="shared" si="37"/>
        <v>0</v>
      </c>
      <c r="F101" s="11">
        <f t="shared" si="38"/>
        <v>0</v>
      </c>
      <c r="G101" s="12">
        <f t="shared" si="39"/>
        <v>0</v>
      </c>
      <c r="H101" s="11">
        <f t="shared" si="40"/>
        <v>0</v>
      </c>
      <c r="I101" s="11">
        <f t="shared" si="41"/>
        <v>0</v>
      </c>
      <c r="J101" s="12">
        <f t="shared" si="42"/>
        <v>0</v>
      </c>
      <c r="K101" s="11">
        <f t="shared" si="43"/>
        <v>0</v>
      </c>
      <c r="L101" s="12">
        <f t="shared" si="44"/>
        <v>0</v>
      </c>
      <c r="M101" s="12">
        <f t="shared" si="45"/>
        <v>0</v>
      </c>
      <c r="N101" s="11">
        <f t="shared" si="46"/>
        <v>0</v>
      </c>
      <c r="O101" s="12">
        <f t="shared" si="47"/>
        <v>0</v>
      </c>
      <c r="P101" s="11">
        <f t="shared" si="48"/>
        <v>0</v>
      </c>
      <c r="Q101" s="12">
        <f t="shared" si="49"/>
        <v>0</v>
      </c>
      <c r="R101" s="11">
        <f t="shared" si="50"/>
        <v>0</v>
      </c>
      <c r="S101" s="12">
        <f t="shared" si="51"/>
        <v>0</v>
      </c>
      <c r="T101" s="12">
        <f t="shared" si="52"/>
        <v>0</v>
      </c>
      <c r="U101" s="12">
        <f t="shared" si="53"/>
        <v>0</v>
      </c>
      <c r="V101" s="11">
        <f t="shared" si="54"/>
        <v>0</v>
      </c>
      <c r="W101" s="11">
        <f t="shared" si="55"/>
        <v>0</v>
      </c>
      <c r="X101" s="11">
        <f t="shared" si="56"/>
        <v>0</v>
      </c>
      <c r="Y101" s="11">
        <f t="shared" si="57"/>
        <v>0</v>
      </c>
      <c r="Z101" s="12">
        <f t="shared" si="58"/>
        <v>0</v>
      </c>
      <c r="AA101" s="11">
        <f t="shared" si="59"/>
        <v>0</v>
      </c>
      <c r="AB101" s="11">
        <f t="shared" si="60"/>
        <v>0</v>
      </c>
      <c r="AC101" s="11">
        <f t="shared" si="61"/>
        <v>0</v>
      </c>
      <c r="AD101" s="11">
        <f t="shared" si="62"/>
        <v>0</v>
      </c>
      <c r="AE101" s="13">
        <f t="shared" si="63"/>
        <v>0</v>
      </c>
      <c r="AF101" s="13">
        <f t="shared" si="64"/>
        <v>0</v>
      </c>
      <c r="AG101" s="11">
        <f t="shared" si="65"/>
        <v>0</v>
      </c>
      <c r="AH101" s="14" t="str">
        <f t="shared" si="67"/>
        <v>InvalidSymbolDetails</v>
      </c>
      <c r="AI101" s="12">
        <f t="shared" si="66"/>
        <v>0</v>
      </c>
    </row>
    <row r="102" spans="1:35" x14ac:dyDescent="0.25">
      <c r="A102" s="9"/>
      <c r="B102" s="9"/>
      <c r="C102" s="10" t="str">
        <f t="shared" si="35"/>
        <v/>
      </c>
      <c r="D102" s="11">
        <f t="shared" si="36"/>
        <v>0</v>
      </c>
      <c r="E102" s="11">
        <f t="shared" si="37"/>
        <v>0</v>
      </c>
      <c r="F102" s="11">
        <f t="shared" si="38"/>
        <v>0</v>
      </c>
      <c r="G102" s="12">
        <f t="shared" si="39"/>
        <v>0</v>
      </c>
      <c r="H102" s="11">
        <f t="shared" si="40"/>
        <v>0</v>
      </c>
      <c r="I102" s="11">
        <f t="shared" si="41"/>
        <v>0</v>
      </c>
      <c r="J102" s="12">
        <f t="shared" si="42"/>
        <v>0</v>
      </c>
      <c r="K102" s="11">
        <f t="shared" si="43"/>
        <v>0</v>
      </c>
      <c r="L102" s="12">
        <f t="shared" si="44"/>
        <v>0</v>
      </c>
      <c r="M102" s="12">
        <f t="shared" si="45"/>
        <v>0</v>
      </c>
      <c r="N102" s="11">
        <f t="shared" si="46"/>
        <v>0</v>
      </c>
      <c r="O102" s="12">
        <f t="shared" si="47"/>
        <v>0</v>
      </c>
      <c r="P102" s="11">
        <f t="shared" si="48"/>
        <v>0</v>
      </c>
      <c r="Q102" s="12">
        <f t="shared" si="49"/>
        <v>0</v>
      </c>
      <c r="R102" s="11">
        <f t="shared" si="50"/>
        <v>0</v>
      </c>
      <c r="S102" s="12">
        <f t="shared" si="51"/>
        <v>0</v>
      </c>
      <c r="T102" s="12">
        <f t="shared" si="52"/>
        <v>0</v>
      </c>
      <c r="U102" s="12">
        <f t="shared" si="53"/>
        <v>0</v>
      </c>
      <c r="V102" s="11">
        <f t="shared" si="54"/>
        <v>0</v>
      </c>
      <c r="W102" s="11">
        <f t="shared" si="55"/>
        <v>0</v>
      </c>
      <c r="X102" s="11">
        <f t="shared" si="56"/>
        <v>0</v>
      </c>
      <c r="Y102" s="11">
        <f t="shared" si="57"/>
        <v>0</v>
      </c>
      <c r="Z102" s="12">
        <f t="shared" si="58"/>
        <v>0</v>
      </c>
      <c r="AA102" s="11">
        <f t="shared" si="59"/>
        <v>0</v>
      </c>
      <c r="AB102" s="11">
        <f t="shared" si="60"/>
        <v>0</v>
      </c>
      <c r="AC102" s="11">
        <f t="shared" si="61"/>
        <v>0</v>
      </c>
      <c r="AD102" s="11">
        <f t="shared" si="62"/>
        <v>0</v>
      </c>
      <c r="AE102" s="13">
        <f t="shared" si="63"/>
        <v>0</v>
      </c>
      <c r="AF102" s="13">
        <f t="shared" si="64"/>
        <v>0</v>
      </c>
      <c r="AG102" s="11">
        <f t="shared" si="65"/>
        <v>0</v>
      </c>
      <c r="AH102" s="14" t="str">
        <f t="shared" si="67"/>
        <v>InvalidSymbolDetails</v>
      </c>
      <c r="AI102" s="12">
        <f t="shared" si="66"/>
        <v>0</v>
      </c>
    </row>
    <row r="103" spans="1:35" x14ac:dyDescent="0.25">
      <c r="A103" s="9"/>
      <c r="B103" s="9"/>
      <c r="C103" s="10" t="str">
        <f t="shared" si="35"/>
        <v/>
      </c>
      <c r="D103" s="11">
        <f t="shared" si="36"/>
        <v>0</v>
      </c>
      <c r="E103" s="11">
        <f t="shared" si="37"/>
        <v>0</v>
      </c>
      <c r="F103" s="11">
        <f t="shared" si="38"/>
        <v>0</v>
      </c>
      <c r="G103" s="12">
        <f t="shared" si="39"/>
        <v>0</v>
      </c>
      <c r="H103" s="11">
        <f t="shared" si="40"/>
        <v>0</v>
      </c>
      <c r="I103" s="11">
        <f t="shared" si="41"/>
        <v>0</v>
      </c>
      <c r="J103" s="12">
        <f t="shared" si="42"/>
        <v>0</v>
      </c>
      <c r="K103" s="11">
        <f t="shared" si="43"/>
        <v>0</v>
      </c>
      <c r="L103" s="12">
        <f t="shared" si="44"/>
        <v>0</v>
      </c>
      <c r="M103" s="12">
        <f t="shared" si="45"/>
        <v>0</v>
      </c>
      <c r="N103" s="11">
        <f t="shared" si="46"/>
        <v>0</v>
      </c>
      <c r="O103" s="12">
        <f t="shared" si="47"/>
        <v>0</v>
      </c>
      <c r="P103" s="11">
        <f t="shared" si="48"/>
        <v>0</v>
      </c>
      <c r="Q103" s="12">
        <f t="shared" si="49"/>
        <v>0</v>
      </c>
      <c r="R103" s="11">
        <f t="shared" si="50"/>
        <v>0</v>
      </c>
      <c r="S103" s="12">
        <f t="shared" si="51"/>
        <v>0</v>
      </c>
      <c r="T103" s="12">
        <f t="shared" si="52"/>
        <v>0</v>
      </c>
      <c r="U103" s="12">
        <f t="shared" si="53"/>
        <v>0</v>
      </c>
      <c r="V103" s="11">
        <f t="shared" si="54"/>
        <v>0</v>
      </c>
      <c r="W103" s="11">
        <f t="shared" si="55"/>
        <v>0</v>
      </c>
      <c r="X103" s="11">
        <f t="shared" si="56"/>
        <v>0</v>
      </c>
      <c r="Y103" s="11">
        <f t="shared" si="57"/>
        <v>0</v>
      </c>
      <c r="Z103" s="12">
        <f t="shared" si="58"/>
        <v>0</v>
      </c>
      <c r="AA103" s="11">
        <f t="shared" si="59"/>
        <v>0</v>
      </c>
      <c r="AB103" s="11">
        <f t="shared" si="60"/>
        <v>0</v>
      </c>
      <c r="AC103" s="11">
        <f t="shared" si="61"/>
        <v>0</v>
      </c>
      <c r="AD103" s="11">
        <f t="shared" si="62"/>
        <v>0</v>
      </c>
      <c r="AE103" s="13">
        <f t="shared" si="63"/>
        <v>0</v>
      </c>
      <c r="AF103" s="13">
        <f t="shared" si="64"/>
        <v>0</v>
      </c>
      <c r="AG103" s="11">
        <f t="shared" si="65"/>
        <v>0</v>
      </c>
      <c r="AH103" s="14" t="str">
        <f t="shared" si="67"/>
        <v>InvalidSymbolDetails</v>
      </c>
      <c r="AI103" s="12">
        <f t="shared" si="66"/>
        <v>0</v>
      </c>
    </row>
    <row r="104" spans="1:35" x14ac:dyDescent="0.25">
      <c r="A104" s="9"/>
      <c r="B104" s="9"/>
      <c r="C104" s="10" t="str">
        <f t="shared" si="35"/>
        <v/>
      </c>
      <c r="D104" s="11">
        <f t="shared" si="36"/>
        <v>0</v>
      </c>
      <c r="E104" s="11">
        <f t="shared" si="37"/>
        <v>0</v>
      </c>
      <c r="F104" s="11">
        <f t="shared" si="38"/>
        <v>0</v>
      </c>
      <c r="G104" s="12">
        <f t="shared" si="39"/>
        <v>0</v>
      </c>
      <c r="H104" s="11">
        <f t="shared" si="40"/>
        <v>0</v>
      </c>
      <c r="I104" s="11">
        <f t="shared" si="41"/>
        <v>0</v>
      </c>
      <c r="J104" s="12">
        <f t="shared" si="42"/>
        <v>0</v>
      </c>
      <c r="K104" s="11">
        <f t="shared" si="43"/>
        <v>0</v>
      </c>
      <c r="L104" s="12">
        <f t="shared" si="44"/>
        <v>0</v>
      </c>
      <c r="M104" s="12">
        <f t="shared" si="45"/>
        <v>0</v>
      </c>
      <c r="N104" s="11">
        <f t="shared" si="46"/>
        <v>0</v>
      </c>
      <c r="O104" s="12">
        <f t="shared" si="47"/>
        <v>0</v>
      </c>
      <c r="P104" s="11">
        <f t="shared" si="48"/>
        <v>0</v>
      </c>
      <c r="Q104" s="12">
        <f t="shared" si="49"/>
        <v>0</v>
      </c>
      <c r="R104" s="11">
        <f t="shared" si="50"/>
        <v>0</v>
      </c>
      <c r="S104" s="12">
        <f t="shared" si="51"/>
        <v>0</v>
      </c>
      <c r="T104" s="12">
        <f t="shared" si="52"/>
        <v>0</v>
      </c>
      <c r="U104" s="12">
        <f t="shared" si="53"/>
        <v>0</v>
      </c>
      <c r="V104" s="11">
        <f t="shared" si="54"/>
        <v>0</v>
      </c>
      <c r="W104" s="11">
        <f t="shared" si="55"/>
        <v>0</v>
      </c>
      <c r="X104" s="11">
        <f t="shared" si="56"/>
        <v>0</v>
      </c>
      <c r="Y104" s="11">
        <f t="shared" si="57"/>
        <v>0</v>
      </c>
      <c r="Z104" s="12">
        <f t="shared" si="58"/>
        <v>0</v>
      </c>
      <c r="AA104" s="11">
        <f t="shared" si="59"/>
        <v>0</v>
      </c>
      <c r="AB104" s="11">
        <f t="shared" si="60"/>
        <v>0</v>
      </c>
      <c r="AC104" s="11">
        <f t="shared" si="61"/>
        <v>0</v>
      </c>
      <c r="AD104" s="11">
        <f t="shared" si="62"/>
        <v>0</v>
      </c>
      <c r="AE104" s="13">
        <f t="shared" si="63"/>
        <v>0</v>
      </c>
      <c r="AF104" s="13">
        <f t="shared" si="64"/>
        <v>0</v>
      </c>
      <c r="AG104" s="11">
        <f t="shared" si="65"/>
        <v>0</v>
      </c>
      <c r="AH104" s="14" t="str">
        <f t="shared" si="67"/>
        <v>InvalidSymbolDetails</v>
      </c>
      <c r="AI104" s="12">
        <f t="shared" si="66"/>
        <v>0</v>
      </c>
    </row>
    <row r="105" spans="1:35" x14ac:dyDescent="0.25">
      <c r="A105" s="9"/>
      <c r="B105" s="9"/>
      <c r="C105" s="10" t="str">
        <f t="shared" si="35"/>
        <v/>
      </c>
      <c r="D105" s="11">
        <f t="shared" si="36"/>
        <v>0</v>
      </c>
      <c r="E105" s="11">
        <f t="shared" si="37"/>
        <v>0</v>
      </c>
      <c r="F105" s="11">
        <f t="shared" si="38"/>
        <v>0</v>
      </c>
      <c r="G105" s="12">
        <f t="shared" si="39"/>
        <v>0</v>
      </c>
      <c r="H105" s="11">
        <f t="shared" si="40"/>
        <v>0</v>
      </c>
      <c r="I105" s="11">
        <f t="shared" si="41"/>
        <v>0</v>
      </c>
      <c r="J105" s="12">
        <f t="shared" si="42"/>
        <v>0</v>
      </c>
      <c r="K105" s="11">
        <f t="shared" si="43"/>
        <v>0</v>
      </c>
      <c r="L105" s="12">
        <f t="shared" si="44"/>
        <v>0</v>
      </c>
      <c r="M105" s="12">
        <f t="shared" si="45"/>
        <v>0</v>
      </c>
      <c r="N105" s="11">
        <f t="shared" si="46"/>
        <v>0</v>
      </c>
      <c r="O105" s="12">
        <f t="shared" si="47"/>
        <v>0</v>
      </c>
      <c r="P105" s="11">
        <f t="shared" si="48"/>
        <v>0</v>
      </c>
      <c r="Q105" s="12">
        <f t="shared" si="49"/>
        <v>0</v>
      </c>
      <c r="R105" s="11">
        <f t="shared" si="50"/>
        <v>0</v>
      </c>
      <c r="S105" s="12">
        <f t="shared" si="51"/>
        <v>0</v>
      </c>
      <c r="T105" s="12">
        <f t="shared" si="52"/>
        <v>0</v>
      </c>
      <c r="U105" s="12">
        <f t="shared" si="53"/>
        <v>0</v>
      </c>
      <c r="V105" s="11">
        <f t="shared" si="54"/>
        <v>0</v>
      </c>
      <c r="W105" s="11">
        <f t="shared" si="55"/>
        <v>0</v>
      </c>
      <c r="X105" s="11">
        <f t="shared" si="56"/>
        <v>0</v>
      </c>
      <c r="Y105" s="11">
        <f t="shared" si="57"/>
        <v>0</v>
      </c>
      <c r="Z105" s="12">
        <f t="shared" si="58"/>
        <v>0</v>
      </c>
      <c r="AA105" s="11">
        <f t="shared" si="59"/>
        <v>0</v>
      </c>
      <c r="AB105" s="11">
        <f t="shared" si="60"/>
        <v>0</v>
      </c>
      <c r="AC105" s="11">
        <f t="shared" si="61"/>
        <v>0</v>
      </c>
      <c r="AD105" s="11">
        <f t="shared" si="62"/>
        <v>0</v>
      </c>
      <c r="AE105" s="13">
        <f t="shared" si="63"/>
        <v>0</v>
      </c>
      <c r="AF105" s="13">
        <f t="shared" si="64"/>
        <v>0</v>
      </c>
      <c r="AG105" s="11">
        <f t="shared" si="65"/>
        <v>0</v>
      </c>
      <c r="AH105" s="14" t="str">
        <f t="shared" si="67"/>
        <v>InvalidSymbolDetails</v>
      </c>
      <c r="AI105" s="12">
        <f t="shared" si="66"/>
        <v>0</v>
      </c>
    </row>
    <row r="106" spans="1:35" x14ac:dyDescent="0.25">
      <c r="A106" s="9"/>
      <c r="B106" s="9"/>
      <c r="C106" s="10" t="str">
        <f t="shared" si="35"/>
        <v/>
      </c>
      <c r="D106" s="11">
        <f t="shared" si="36"/>
        <v>0</v>
      </c>
      <c r="E106" s="11">
        <f t="shared" si="37"/>
        <v>0</v>
      </c>
      <c r="F106" s="11">
        <f t="shared" si="38"/>
        <v>0</v>
      </c>
      <c r="G106" s="12">
        <f t="shared" si="39"/>
        <v>0</v>
      </c>
      <c r="H106" s="11">
        <f t="shared" si="40"/>
        <v>0</v>
      </c>
      <c r="I106" s="11">
        <f t="shared" si="41"/>
        <v>0</v>
      </c>
      <c r="J106" s="12">
        <f t="shared" si="42"/>
        <v>0</v>
      </c>
      <c r="K106" s="11">
        <f t="shared" si="43"/>
        <v>0</v>
      </c>
      <c r="L106" s="12">
        <f t="shared" si="44"/>
        <v>0</v>
      </c>
      <c r="M106" s="12">
        <f t="shared" si="45"/>
        <v>0</v>
      </c>
      <c r="N106" s="11">
        <f t="shared" si="46"/>
        <v>0</v>
      </c>
      <c r="O106" s="12">
        <f t="shared" si="47"/>
        <v>0</v>
      </c>
      <c r="P106" s="11">
        <f t="shared" si="48"/>
        <v>0</v>
      </c>
      <c r="Q106" s="12">
        <f t="shared" si="49"/>
        <v>0</v>
      </c>
      <c r="R106" s="11">
        <f t="shared" si="50"/>
        <v>0</v>
      </c>
      <c r="S106" s="12">
        <f t="shared" si="51"/>
        <v>0</v>
      </c>
      <c r="T106" s="12">
        <f t="shared" si="52"/>
        <v>0</v>
      </c>
      <c r="U106" s="12">
        <f t="shared" si="53"/>
        <v>0</v>
      </c>
      <c r="V106" s="11">
        <f t="shared" si="54"/>
        <v>0</v>
      </c>
      <c r="W106" s="11">
        <f t="shared" si="55"/>
        <v>0</v>
      </c>
      <c r="X106" s="11">
        <f t="shared" si="56"/>
        <v>0</v>
      </c>
      <c r="Y106" s="11">
        <f t="shared" si="57"/>
        <v>0</v>
      </c>
      <c r="Z106" s="12">
        <f t="shared" si="58"/>
        <v>0</v>
      </c>
      <c r="AA106" s="11">
        <f t="shared" si="59"/>
        <v>0</v>
      </c>
      <c r="AB106" s="11">
        <f t="shared" si="60"/>
        <v>0</v>
      </c>
      <c r="AC106" s="11">
        <f t="shared" si="61"/>
        <v>0</v>
      </c>
      <c r="AD106" s="11">
        <f t="shared" si="62"/>
        <v>0</v>
      </c>
      <c r="AE106" s="13">
        <f t="shared" si="63"/>
        <v>0</v>
      </c>
      <c r="AF106" s="13">
        <f t="shared" si="64"/>
        <v>0</v>
      </c>
      <c r="AG106" s="11">
        <f t="shared" si="65"/>
        <v>0</v>
      </c>
      <c r="AH106" s="14" t="str">
        <f t="shared" si="67"/>
        <v>InvalidSymbolDetails</v>
      </c>
      <c r="AI106" s="12">
        <f t="shared" si="66"/>
        <v>0</v>
      </c>
    </row>
    <row r="107" spans="1:35" x14ac:dyDescent="0.25">
      <c r="A107" s="9"/>
      <c r="B107" s="9"/>
      <c r="C107" s="10" t="str">
        <f t="shared" si="35"/>
        <v/>
      </c>
      <c r="D107" s="11">
        <f t="shared" si="36"/>
        <v>0</v>
      </c>
      <c r="E107" s="11">
        <f t="shared" si="37"/>
        <v>0</v>
      </c>
      <c r="F107" s="11">
        <f t="shared" si="38"/>
        <v>0</v>
      </c>
      <c r="G107" s="12">
        <f t="shared" si="39"/>
        <v>0</v>
      </c>
      <c r="H107" s="11">
        <f t="shared" si="40"/>
        <v>0</v>
      </c>
      <c r="I107" s="11">
        <f t="shared" si="41"/>
        <v>0</v>
      </c>
      <c r="J107" s="12">
        <f t="shared" si="42"/>
        <v>0</v>
      </c>
      <c r="K107" s="11">
        <f t="shared" si="43"/>
        <v>0</v>
      </c>
      <c r="L107" s="12">
        <f t="shared" si="44"/>
        <v>0</v>
      </c>
      <c r="M107" s="12">
        <f t="shared" si="45"/>
        <v>0</v>
      </c>
      <c r="N107" s="11">
        <f t="shared" si="46"/>
        <v>0</v>
      </c>
      <c r="O107" s="12">
        <f t="shared" si="47"/>
        <v>0</v>
      </c>
      <c r="P107" s="11">
        <f t="shared" si="48"/>
        <v>0</v>
      </c>
      <c r="Q107" s="12">
        <f t="shared" si="49"/>
        <v>0</v>
      </c>
      <c r="R107" s="11">
        <f t="shared" si="50"/>
        <v>0</v>
      </c>
      <c r="S107" s="12">
        <f t="shared" si="51"/>
        <v>0</v>
      </c>
      <c r="T107" s="12">
        <f t="shared" si="52"/>
        <v>0</v>
      </c>
      <c r="U107" s="12">
        <f t="shared" si="53"/>
        <v>0</v>
      </c>
      <c r="V107" s="11">
        <f t="shared" si="54"/>
        <v>0</v>
      </c>
      <c r="W107" s="11">
        <f t="shared" si="55"/>
        <v>0</v>
      </c>
      <c r="X107" s="11">
        <f t="shared" si="56"/>
        <v>0</v>
      </c>
      <c r="Y107" s="11">
        <f t="shared" si="57"/>
        <v>0</v>
      </c>
      <c r="Z107" s="12">
        <f t="shared" si="58"/>
        <v>0</v>
      </c>
      <c r="AA107" s="11">
        <f t="shared" si="59"/>
        <v>0</v>
      </c>
      <c r="AB107" s="11">
        <f t="shared" si="60"/>
        <v>0</v>
      </c>
      <c r="AC107" s="11">
        <f t="shared" si="61"/>
        <v>0</v>
      </c>
      <c r="AD107" s="11">
        <f t="shared" si="62"/>
        <v>0</v>
      </c>
      <c r="AE107" s="13">
        <f t="shared" si="63"/>
        <v>0</v>
      </c>
      <c r="AF107" s="13">
        <f t="shared" si="64"/>
        <v>0</v>
      </c>
      <c r="AG107" s="11">
        <f t="shared" si="65"/>
        <v>0</v>
      </c>
      <c r="AH107" s="14" t="str">
        <f t="shared" si="67"/>
        <v>InvalidSymbolDetails</v>
      </c>
      <c r="AI107" s="12">
        <f t="shared" si="66"/>
        <v>0</v>
      </c>
    </row>
    <row r="108" spans="1:35" x14ac:dyDescent="0.25">
      <c r="A108" s="9"/>
      <c r="B108" s="9"/>
      <c r="C108" s="10" t="str">
        <f t="shared" si="35"/>
        <v/>
      </c>
      <c r="D108" s="11">
        <f t="shared" si="36"/>
        <v>0</v>
      </c>
      <c r="E108" s="11">
        <f t="shared" si="37"/>
        <v>0</v>
      </c>
      <c r="F108" s="11">
        <f t="shared" si="38"/>
        <v>0</v>
      </c>
      <c r="G108" s="12">
        <f t="shared" si="39"/>
        <v>0</v>
      </c>
      <c r="H108" s="11">
        <f t="shared" si="40"/>
        <v>0</v>
      </c>
      <c r="I108" s="11">
        <f t="shared" si="41"/>
        <v>0</v>
      </c>
      <c r="J108" s="12">
        <f t="shared" si="42"/>
        <v>0</v>
      </c>
      <c r="K108" s="11">
        <f t="shared" si="43"/>
        <v>0</v>
      </c>
      <c r="L108" s="12">
        <f t="shared" si="44"/>
        <v>0</v>
      </c>
      <c r="M108" s="12">
        <f t="shared" si="45"/>
        <v>0</v>
      </c>
      <c r="N108" s="11">
        <f t="shared" si="46"/>
        <v>0</v>
      </c>
      <c r="O108" s="12">
        <f t="shared" si="47"/>
        <v>0</v>
      </c>
      <c r="P108" s="11">
        <f t="shared" si="48"/>
        <v>0</v>
      </c>
      <c r="Q108" s="12">
        <f t="shared" si="49"/>
        <v>0</v>
      </c>
      <c r="R108" s="11">
        <f t="shared" si="50"/>
        <v>0</v>
      </c>
      <c r="S108" s="12">
        <f t="shared" si="51"/>
        <v>0</v>
      </c>
      <c r="T108" s="12">
        <f t="shared" si="52"/>
        <v>0</v>
      </c>
      <c r="U108" s="12">
        <f t="shared" si="53"/>
        <v>0</v>
      </c>
      <c r="V108" s="11">
        <f t="shared" si="54"/>
        <v>0</v>
      </c>
      <c r="W108" s="11">
        <f t="shared" si="55"/>
        <v>0</v>
      </c>
      <c r="X108" s="11">
        <f t="shared" si="56"/>
        <v>0</v>
      </c>
      <c r="Y108" s="11">
        <f t="shared" si="57"/>
        <v>0</v>
      </c>
      <c r="Z108" s="12">
        <f t="shared" si="58"/>
        <v>0</v>
      </c>
      <c r="AA108" s="11">
        <f t="shared" si="59"/>
        <v>0</v>
      </c>
      <c r="AB108" s="11">
        <f t="shared" si="60"/>
        <v>0</v>
      </c>
      <c r="AC108" s="11">
        <f t="shared" si="61"/>
        <v>0</v>
      </c>
      <c r="AD108" s="11">
        <f t="shared" si="62"/>
        <v>0</v>
      </c>
      <c r="AE108" s="13">
        <f t="shared" si="63"/>
        <v>0</v>
      </c>
      <c r="AF108" s="13">
        <f t="shared" si="64"/>
        <v>0</v>
      </c>
      <c r="AG108" s="11">
        <f t="shared" si="65"/>
        <v>0</v>
      </c>
      <c r="AH108" s="14" t="str">
        <f t="shared" si="67"/>
        <v>InvalidSymbolDetails</v>
      </c>
      <c r="AI108" s="12">
        <f t="shared" si="66"/>
        <v>0</v>
      </c>
    </row>
    <row r="109" spans="1:35" x14ac:dyDescent="0.25">
      <c r="A109" s="9"/>
      <c r="B109" s="9"/>
      <c r="C109" s="10" t="str">
        <f t="shared" si="35"/>
        <v/>
      </c>
      <c r="D109" s="11">
        <f t="shared" si="36"/>
        <v>0</v>
      </c>
      <c r="E109" s="11">
        <f t="shared" si="37"/>
        <v>0</v>
      </c>
      <c r="F109" s="11">
        <f t="shared" si="38"/>
        <v>0</v>
      </c>
      <c r="G109" s="12">
        <f t="shared" si="39"/>
        <v>0</v>
      </c>
      <c r="H109" s="11">
        <f t="shared" si="40"/>
        <v>0</v>
      </c>
      <c r="I109" s="11">
        <f t="shared" si="41"/>
        <v>0</v>
      </c>
      <c r="J109" s="12">
        <f t="shared" si="42"/>
        <v>0</v>
      </c>
      <c r="K109" s="11">
        <f t="shared" si="43"/>
        <v>0</v>
      </c>
      <c r="L109" s="12">
        <f t="shared" si="44"/>
        <v>0</v>
      </c>
      <c r="M109" s="12">
        <f t="shared" si="45"/>
        <v>0</v>
      </c>
      <c r="N109" s="11">
        <f t="shared" si="46"/>
        <v>0</v>
      </c>
      <c r="O109" s="12">
        <f t="shared" si="47"/>
        <v>0</v>
      </c>
      <c r="P109" s="11">
        <f t="shared" si="48"/>
        <v>0</v>
      </c>
      <c r="Q109" s="12">
        <f t="shared" si="49"/>
        <v>0</v>
      </c>
      <c r="R109" s="11">
        <f t="shared" si="50"/>
        <v>0</v>
      </c>
      <c r="S109" s="12">
        <f t="shared" si="51"/>
        <v>0</v>
      </c>
      <c r="T109" s="12">
        <f t="shared" si="52"/>
        <v>0</v>
      </c>
      <c r="U109" s="12">
        <f t="shared" si="53"/>
        <v>0</v>
      </c>
      <c r="V109" s="11">
        <f t="shared" si="54"/>
        <v>0</v>
      </c>
      <c r="W109" s="11">
        <f t="shared" si="55"/>
        <v>0</v>
      </c>
      <c r="X109" s="11">
        <f t="shared" si="56"/>
        <v>0</v>
      </c>
      <c r="Y109" s="11">
        <f t="shared" si="57"/>
        <v>0</v>
      </c>
      <c r="Z109" s="12">
        <f t="shared" si="58"/>
        <v>0</v>
      </c>
      <c r="AA109" s="11">
        <f t="shared" si="59"/>
        <v>0</v>
      </c>
      <c r="AB109" s="11">
        <f t="shared" si="60"/>
        <v>0</v>
      </c>
      <c r="AC109" s="11">
        <f t="shared" si="61"/>
        <v>0</v>
      </c>
      <c r="AD109" s="11">
        <f t="shared" si="62"/>
        <v>0</v>
      </c>
      <c r="AE109" s="13">
        <f t="shared" si="63"/>
        <v>0</v>
      </c>
      <c r="AF109" s="13">
        <f t="shared" si="64"/>
        <v>0</v>
      </c>
      <c r="AG109" s="11">
        <f t="shared" si="65"/>
        <v>0</v>
      </c>
      <c r="AH109" s="14" t="str">
        <f t="shared" si="67"/>
        <v>InvalidSymbolDetails</v>
      </c>
      <c r="AI109" s="12">
        <f t="shared" si="66"/>
        <v>0</v>
      </c>
    </row>
    <row r="110" spans="1:35" x14ac:dyDescent="0.25">
      <c r="A110" s="9"/>
      <c r="B110" s="9"/>
      <c r="C110" s="10" t="str">
        <f t="shared" si="35"/>
        <v/>
      </c>
      <c r="D110" s="11">
        <f t="shared" si="36"/>
        <v>0</v>
      </c>
      <c r="E110" s="11">
        <f t="shared" si="37"/>
        <v>0</v>
      </c>
      <c r="F110" s="11">
        <f t="shared" si="38"/>
        <v>0</v>
      </c>
      <c r="G110" s="12">
        <f t="shared" si="39"/>
        <v>0</v>
      </c>
      <c r="H110" s="11">
        <f t="shared" si="40"/>
        <v>0</v>
      </c>
      <c r="I110" s="11">
        <f t="shared" si="41"/>
        <v>0</v>
      </c>
      <c r="J110" s="12">
        <f t="shared" si="42"/>
        <v>0</v>
      </c>
      <c r="K110" s="11">
        <f t="shared" si="43"/>
        <v>0</v>
      </c>
      <c r="L110" s="12">
        <f t="shared" si="44"/>
        <v>0</v>
      </c>
      <c r="M110" s="12">
        <f t="shared" si="45"/>
        <v>0</v>
      </c>
      <c r="N110" s="11">
        <f t="shared" si="46"/>
        <v>0</v>
      </c>
      <c r="O110" s="12">
        <f t="shared" si="47"/>
        <v>0</v>
      </c>
      <c r="P110" s="11">
        <f t="shared" si="48"/>
        <v>0</v>
      </c>
      <c r="Q110" s="12">
        <f t="shared" si="49"/>
        <v>0</v>
      </c>
      <c r="R110" s="11">
        <f t="shared" si="50"/>
        <v>0</v>
      </c>
      <c r="S110" s="12">
        <f t="shared" si="51"/>
        <v>0</v>
      </c>
      <c r="T110" s="12">
        <f t="shared" si="52"/>
        <v>0</v>
      </c>
      <c r="U110" s="12">
        <f t="shared" si="53"/>
        <v>0</v>
      </c>
      <c r="V110" s="11">
        <f t="shared" si="54"/>
        <v>0</v>
      </c>
      <c r="W110" s="11">
        <f t="shared" si="55"/>
        <v>0</v>
      </c>
      <c r="X110" s="11">
        <f t="shared" si="56"/>
        <v>0</v>
      </c>
      <c r="Y110" s="11">
        <f t="shared" si="57"/>
        <v>0</v>
      </c>
      <c r="Z110" s="12">
        <f t="shared" si="58"/>
        <v>0</v>
      </c>
      <c r="AA110" s="11">
        <f t="shared" si="59"/>
        <v>0</v>
      </c>
      <c r="AB110" s="11">
        <f t="shared" si="60"/>
        <v>0</v>
      </c>
      <c r="AC110" s="11">
        <f t="shared" si="61"/>
        <v>0</v>
      </c>
      <c r="AD110" s="11">
        <f t="shared" si="62"/>
        <v>0</v>
      </c>
      <c r="AE110" s="13">
        <f t="shared" si="63"/>
        <v>0</v>
      </c>
      <c r="AF110" s="13">
        <f t="shared" si="64"/>
        <v>0</v>
      </c>
      <c r="AG110" s="11">
        <f t="shared" si="65"/>
        <v>0</v>
      </c>
      <c r="AH110" s="14" t="str">
        <f t="shared" si="67"/>
        <v>InvalidSymbolDetails</v>
      </c>
      <c r="AI110" s="12">
        <f t="shared" si="66"/>
        <v>0</v>
      </c>
    </row>
    <row r="111" spans="1:35" x14ac:dyDescent="0.25">
      <c r="A111" s="9"/>
      <c r="B111" s="9"/>
      <c r="C111" s="10" t="str">
        <f t="shared" si="35"/>
        <v/>
      </c>
      <c r="D111" s="11">
        <f t="shared" si="36"/>
        <v>0</v>
      </c>
      <c r="E111" s="11">
        <f t="shared" si="37"/>
        <v>0</v>
      </c>
      <c r="F111" s="11">
        <f t="shared" si="38"/>
        <v>0</v>
      </c>
      <c r="G111" s="12">
        <f t="shared" si="39"/>
        <v>0</v>
      </c>
      <c r="H111" s="11">
        <f t="shared" si="40"/>
        <v>0</v>
      </c>
      <c r="I111" s="11">
        <f t="shared" si="41"/>
        <v>0</v>
      </c>
      <c r="J111" s="12">
        <f t="shared" si="42"/>
        <v>0</v>
      </c>
      <c r="K111" s="11">
        <f t="shared" si="43"/>
        <v>0</v>
      </c>
      <c r="L111" s="12">
        <f t="shared" si="44"/>
        <v>0</v>
      </c>
      <c r="M111" s="12">
        <f t="shared" si="45"/>
        <v>0</v>
      </c>
      <c r="N111" s="11">
        <f t="shared" si="46"/>
        <v>0</v>
      </c>
      <c r="O111" s="12">
        <f t="shared" si="47"/>
        <v>0</v>
      </c>
      <c r="P111" s="11">
        <f t="shared" si="48"/>
        <v>0</v>
      </c>
      <c r="Q111" s="12">
        <f t="shared" si="49"/>
        <v>0</v>
      </c>
      <c r="R111" s="11">
        <f t="shared" si="50"/>
        <v>0</v>
      </c>
      <c r="S111" s="12">
        <f t="shared" si="51"/>
        <v>0</v>
      </c>
      <c r="T111" s="12">
        <f t="shared" si="52"/>
        <v>0</v>
      </c>
      <c r="U111" s="12">
        <f t="shared" si="53"/>
        <v>0</v>
      </c>
      <c r="V111" s="11">
        <f t="shared" si="54"/>
        <v>0</v>
      </c>
      <c r="W111" s="11">
        <f t="shared" si="55"/>
        <v>0</v>
      </c>
      <c r="X111" s="11">
        <f t="shared" si="56"/>
        <v>0</v>
      </c>
      <c r="Y111" s="11">
        <f t="shared" si="57"/>
        <v>0</v>
      </c>
      <c r="Z111" s="12">
        <f t="shared" si="58"/>
        <v>0</v>
      </c>
      <c r="AA111" s="11">
        <f t="shared" si="59"/>
        <v>0</v>
      </c>
      <c r="AB111" s="11">
        <f t="shared" si="60"/>
        <v>0</v>
      </c>
      <c r="AC111" s="11">
        <f t="shared" si="61"/>
        <v>0</v>
      </c>
      <c r="AD111" s="11">
        <f t="shared" si="62"/>
        <v>0</v>
      </c>
      <c r="AE111" s="13">
        <f t="shared" si="63"/>
        <v>0</v>
      </c>
      <c r="AF111" s="13">
        <f t="shared" si="64"/>
        <v>0</v>
      </c>
      <c r="AG111" s="11">
        <f t="shared" si="65"/>
        <v>0</v>
      </c>
      <c r="AH111" s="14" t="str">
        <f t="shared" si="67"/>
        <v>InvalidSymbolDetails</v>
      </c>
      <c r="AI111" s="12">
        <f t="shared" si="66"/>
        <v>0</v>
      </c>
    </row>
    <row r="112" spans="1:35" x14ac:dyDescent="0.25">
      <c r="A112" s="9"/>
      <c r="B112" s="9"/>
      <c r="C112" s="10" t="str">
        <f t="shared" si="35"/>
        <v/>
      </c>
      <c r="D112" s="11">
        <f t="shared" si="36"/>
        <v>0</v>
      </c>
      <c r="E112" s="11">
        <f t="shared" si="37"/>
        <v>0</v>
      </c>
      <c r="F112" s="11">
        <f t="shared" si="38"/>
        <v>0</v>
      </c>
      <c r="G112" s="12">
        <f t="shared" si="39"/>
        <v>0</v>
      </c>
      <c r="H112" s="11">
        <f t="shared" si="40"/>
        <v>0</v>
      </c>
      <c r="I112" s="11">
        <f t="shared" si="41"/>
        <v>0</v>
      </c>
      <c r="J112" s="12">
        <f t="shared" si="42"/>
        <v>0</v>
      </c>
      <c r="K112" s="11">
        <f t="shared" si="43"/>
        <v>0</v>
      </c>
      <c r="L112" s="12">
        <f t="shared" si="44"/>
        <v>0</v>
      </c>
      <c r="M112" s="12">
        <f t="shared" si="45"/>
        <v>0</v>
      </c>
      <c r="N112" s="11">
        <f t="shared" si="46"/>
        <v>0</v>
      </c>
      <c r="O112" s="12">
        <f t="shared" si="47"/>
        <v>0</v>
      </c>
      <c r="P112" s="11">
        <f t="shared" si="48"/>
        <v>0</v>
      </c>
      <c r="Q112" s="12">
        <f t="shared" si="49"/>
        <v>0</v>
      </c>
      <c r="R112" s="11">
        <f t="shared" si="50"/>
        <v>0</v>
      </c>
      <c r="S112" s="12">
        <f t="shared" si="51"/>
        <v>0</v>
      </c>
      <c r="T112" s="12">
        <f t="shared" si="52"/>
        <v>0</v>
      </c>
      <c r="U112" s="12">
        <f t="shared" si="53"/>
        <v>0</v>
      </c>
      <c r="V112" s="11">
        <f t="shared" si="54"/>
        <v>0</v>
      </c>
      <c r="W112" s="11">
        <f t="shared" si="55"/>
        <v>0</v>
      </c>
      <c r="X112" s="11">
        <f t="shared" si="56"/>
        <v>0</v>
      </c>
      <c r="Y112" s="11">
        <f t="shared" si="57"/>
        <v>0</v>
      </c>
      <c r="Z112" s="12">
        <f t="shared" si="58"/>
        <v>0</v>
      </c>
      <c r="AA112" s="11">
        <f t="shared" si="59"/>
        <v>0</v>
      </c>
      <c r="AB112" s="11">
        <f t="shared" si="60"/>
        <v>0</v>
      </c>
      <c r="AC112" s="11">
        <f t="shared" si="61"/>
        <v>0</v>
      </c>
      <c r="AD112" s="11">
        <f t="shared" si="62"/>
        <v>0</v>
      </c>
      <c r="AE112" s="13">
        <f t="shared" si="63"/>
        <v>0</v>
      </c>
      <c r="AF112" s="13">
        <f t="shared" si="64"/>
        <v>0</v>
      </c>
      <c r="AG112" s="11">
        <f t="shared" si="65"/>
        <v>0</v>
      </c>
      <c r="AH112" s="14" t="str">
        <f t="shared" si="67"/>
        <v>InvalidSymbolDetails</v>
      </c>
      <c r="AI112" s="12">
        <f t="shared" si="66"/>
        <v>0</v>
      </c>
    </row>
    <row r="113" spans="1:35" x14ac:dyDescent="0.25">
      <c r="A113" s="9"/>
      <c r="B113" s="9"/>
      <c r="C113" s="10" t="str">
        <f t="shared" si="35"/>
        <v/>
      </c>
      <c r="D113" s="11">
        <f t="shared" si="36"/>
        <v>0</v>
      </c>
      <c r="E113" s="11">
        <f t="shared" si="37"/>
        <v>0</v>
      </c>
      <c r="F113" s="11">
        <f t="shared" si="38"/>
        <v>0</v>
      </c>
      <c r="G113" s="12">
        <f t="shared" si="39"/>
        <v>0</v>
      </c>
      <c r="H113" s="11">
        <f t="shared" si="40"/>
        <v>0</v>
      </c>
      <c r="I113" s="11">
        <f t="shared" si="41"/>
        <v>0</v>
      </c>
      <c r="J113" s="12">
        <f t="shared" si="42"/>
        <v>0</v>
      </c>
      <c r="K113" s="11">
        <f t="shared" si="43"/>
        <v>0</v>
      </c>
      <c r="L113" s="12">
        <f t="shared" si="44"/>
        <v>0</v>
      </c>
      <c r="M113" s="12">
        <f t="shared" si="45"/>
        <v>0</v>
      </c>
      <c r="N113" s="11">
        <f t="shared" si="46"/>
        <v>0</v>
      </c>
      <c r="O113" s="12">
        <f t="shared" si="47"/>
        <v>0</v>
      </c>
      <c r="P113" s="11">
        <f t="shared" si="48"/>
        <v>0</v>
      </c>
      <c r="Q113" s="12">
        <f t="shared" si="49"/>
        <v>0</v>
      </c>
      <c r="R113" s="11">
        <f t="shared" si="50"/>
        <v>0</v>
      </c>
      <c r="S113" s="12">
        <f t="shared" si="51"/>
        <v>0</v>
      </c>
      <c r="T113" s="12">
        <f t="shared" si="52"/>
        <v>0</v>
      </c>
      <c r="U113" s="12">
        <f t="shared" si="53"/>
        <v>0</v>
      </c>
      <c r="V113" s="11">
        <f t="shared" si="54"/>
        <v>0</v>
      </c>
      <c r="W113" s="11">
        <f t="shared" si="55"/>
        <v>0</v>
      </c>
      <c r="X113" s="11">
        <f t="shared" si="56"/>
        <v>0</v>
      </c>
      <c r="Y113" s="11">
        <f t="shared" si="57"/>
        <v>0</v>
      </c>
      <c r="Z113" s="12">
        <f t="shared" si="58"/>
        <v>0</v>
      </c>
      <c r="AA113" s="11">
        <f t="shared" si="59"/>
        <v>0</v>
      </c>
      <c r="AB113" s="11">
        <f t="shared" si="60"/>
        <v>0</v>
      </c>
      <c r="AC113" s="11">
        <f t="shared" si="61"/>
        <v>0</v>
      </c>
      <c r="AD113" s="11">
        <f t="shared" si="62"/>
        <v>0</v>
      </c>
      <c r="AE113" s="13">
        <f t="shared" si="63"/>
        <v>0</v>
      </c>
      <c r="AF113" s="13">
        <f t="shared" si="64"/>
        <v>0</v>
      </c>
      <c r="AG113" s="11">
        <f t="shared" si="65"/>
        <v>0</v>
      </c>
      <c r="AH113" s="14" t="str">
        <f t="shared" si="67"/>
        <v>InvalidSymbolDetails</v>
      </c>
      <c r="AI113" s="12">
        <f t="shared" si="66"/>
        <v>0</v>
      </c>
    </row>
    <row r="114" spans="1:35" x14ac:dyDescent="0.25">
      <c r="A114" s="9"/>
      <c r="B114" s="9"/>
      <c r="C114" s="10" t="str">
        <f t="shared" si="35"/>
        <v/>
      </c>
      <c r="D114" s="11">
        <f t="shared" si="36"/>
        <v>0</v>
      </c>
      <c r="E114" s="11">
        <f t="shared" si="37"/>
        <v>0</v>
      </c>
      <c r="F114" s="11">
        <f t="shared" si="38"/>
        <v>0</v>
      </c>
      <c r="G114" s="12">
        <f t="shared" si="39"/>
        <v>0</v>
      </c>
      <c r="H114" s="11">
        <f t="shared" si="40"/>
        <v>0</v>
      </c>
      <c r="I114" s="11">
        <f t="shared" si="41"/>
        <v>0</v>
      </c>
      <c r="J114" s="12">
        <f t="shared" si="42"/>
        <v>0</v>
      </c>
      <c r="K114" s="11">
        <f t="shared" si="43"/>
        <v>0</v>
      </c>
      <c r="L114" s="12">
        <f t="shared" si="44"/>
        <v>0</v>
      </c>
      <c r="M114" s="12">
        <f t="shared" si="45"/>
        <v>0</v>
      </c>
      <c r="N114" s="11">
        <f t="shared" si="46"/>
        <v>0</v>
      </c>
      <c r="O114" s="12">
        <f t="shared" si="47"/>
        <v>0</v>
      </c>
      <c r="P114" s="11">
        <f t="shared" si="48"/>
        <v>0</v>
      </c>
      <c r="Q114" s="12">
        <f t="shared" si="49"/>
        <v>0</v>
      </c>
      <c r="R114" s="11">
        <f t="shared" si="50"/>
        <v>0</v>
      </c>
      <c r="S114" s="12">
        <f t="shared" si="51"/>
        <v>0</v>
      </c>
      <c r="T114" s="12">
        <f t="shared" si="52"/>
        <v>0</v>
      </c>
      <c r="U114" s="12">
        <f t="shared" si="53"/>
        <v>0</v>
      </c>
      <c r="V114" s="11">
        <f t="shared" si="54"/>
        <v>0</v>
      </c>
      <c r="W114" s="11">
        <f t="shared" si="55"/>
        <v>0</v>
      </c>
      <c r="X114" s="11">
        <f t="shared" si="56"/>
        <v>0</v>
      </c>
      <c r="Y114" s="11">
        <f t="shared" si="57"/>
        <v>0</v>
      </c>
      <c r="Z114" s="12">
        <f t="shared" si="58"/>
        <v>0</v>
      </c>
      <c r="AA114" s="11">
        <f t="shared" si="59"/>
        <v>0</v>
      </c>
      <c r="AB114" s="11">
        <f t="shared" si="60"/>
        <v>0</v>
      </c>
      <c r="AC114" s="11">
        <f t="shared" si="61"/>
        <v>0</v>
      </c>
      <c r="AD114" s="11">
        <f t="shared" si="62"/>
        <v>0</v>
      </c>
      <c r="AE114" s="13">
        <f t="shared" si="63"/>
        <v>0</v>
      </c>
      <c r="AF114" s="13">
        <f t="shared" si="64"/>
        <v>0</v>
      </c>
      <c r="AG114" s="11">
        <f t="shared" si="65"/>
        <v>0</v>
      </c>
      <c r="AH114" s="14" t="str">
        <f t="shared" si="67"/>
        <v>InvalidSymbolDetails</v>
      </c>
      <c r="AI114" s="12">
        <f t="shared" si="66"/>
        <v>0</v>
      </c>
    </row>
    <row r="115" spans="1:35" x14ac:dyDescent="0.25">
      <c r="A115" s="9"/>
      <c r="B115" s="9"/>
      <c r="C115" s="10" t="str">
        <f t="shared" si="35"/>
        <v/>
      </c>
      <c r="D115" s="11">
        <f t="shared" si="36"/>
        <v>0</v>
      </c>
      <c r="E115" s="11">
        <f t="shared" si="37"/>
        <v>0</v>
      </c>
      <c r="F115" s="11">
        <f t="shared" si="38"/>
        <v>0</v>
      </c>
      <c r="G115" s="12">
        <f t="shared" si="39"/>
        <v>0</v>
      </c>
      <c r="H115" s="11">
        <f t="shared" si="40"/>
        <v>0</v>
      </c>
      <c r="I115" s="11">
        <f t="shared" si="41"/>
        <v>0</v>
      </c>
      <c r="J115" s="12">
        <f t="shared" si="42"/>
        <v>0</v>
      </c>
      <c r="K115" s="11">
        <f t="shared" si="43"/>
        <v>0</v>
      </c>
      <c r="L115" s="12">
        <f t="shared" si="44"/>
        <v>0</v>
      </c>
      <c r="M115" s="12">
        <f t="shared" si="45"/>
        <v>0</v>
      </c>
      <c r="N115" s="11">
        <f t="shared" si="46"/>
        <v>0</v>
      </c>
      <c r="O115" s="12">
        <f t="shared" si="47"/>
        <v>0</v>
      </c>
      <c r="P115" s="11">
        <f t="shared" si="48"/>
        <v>0</v>
      </c>
      <c r="Q115" s="12">
        <f t="shared" si="49"/>
        <v>0</v>
      </c>
      <c r="R115" s="11">
        <f t="shared" si="50"/>
        <v>0</v>
      </c>
      <c r="S115" s="12">
        <f t="shared" si="51"/>
        <v>0</v>
      </c>
      <c r="T115" s="12">
        <f t="shared" si="52"/>
        <v>0</v>
      </c>
      <c r="U115" s="12">
        <f t="shared" si="53"/>
        <v>0</v>
      </c>
      <c r="V115" s="11">
        <f t="shared" si="54"/>
        <v>0</v>
      </c>
      <c r="W115" s="11">
        <f t="shared" si="55"/>
        <v>0</v>
      </c>
      <c r="X115" s="11">
        <f t="shared" si="56"/>
        <v>0</v>
      </c>
      <c r="Y115" s="11">
        <f t="shared" si="57"/>
        <v>0</v>
      </c>
      <c r="Z115" s="12">
        <f t="shared" si="58"/>
        <v>0</v>
      </c>
      <c r="AA115" s="11">
        <f t="shared" si="59"/>
        <v>0</v>
      </c>
      <c r="AB115" s="11">
        <f t="shared" si="60"/>
        <v>0</v>
      </c>
      <c r="AC115" s="11">
        <f t="shared" si="61"/>
        <v>0</v>
      </c>
      <c r="AD115" s="11">
        <f t="shared" si="62"/>
        <v>0</v>
      </c>
      <c r="AE115" s="13">
        <f t="shared" si="63"/>
        <v>0</v>
      </c>
      <c r="AF115" s="13">
        <f t="shared" si="64"/>
        <v>0</v>
      </c>
      <c r="AG115" s="11">
        <f t="shared" si="65"/>
        <v>0</v>
      </c>
      <c r="AH115" s="14" t="str">
        <f t="shared" si="67"/>
        <v>InvalidSymbolDetails</v>
      </c>
      <c r="AI115" s="12">
        <f t="shared" si="66"/>
        <v>0</v>
      </c>
    </row>
    <row r="116" spans="1:35" x14ac:dyDescent="0.25">
      <c r="A116" s="9"/>
      <c r="B116" s="9"/>
      <c r="C116" s="10" t="str">
        <f t="shared" si="35"/>
        <v/>
      </c>
      <c r="D116" s="11">
        <f t="shared" si="36"/>
        <v>0</v>
      </c>
      <c r="E116" s="11">
        <f t="shared" si="37"/>
        <v>0</v>
      </c>
      <c r="F116" s="11">
        <f t="shared" si="38"/>
        <v>0</v>
      </c>
      <c r="G116" s="12">
        <f t="shared" si="39"/>
        <v>0</v>
      </c>
      <c r="H116" s="11">
        <f t="shared" si="40"/>
        <v>0</v>
      </c>
      <c r="I116" s="11">
        <f t="shared" si="41"/>
        <v>0</v>
      </c>
      <c r="J116" s="12">
        <f t="shared" si="42"/>
        <v>0</v>
      </c>
      <c r="K116" s="11">
        <f t="shared" si="43"/>
        <v>0</v>
      </c>
      <c r="L116" s="12">
        <f t="shared" si="44"/>
        <v>0</v>
      </c>
      <c r="M116" s="12">
        <f t="shared" si="45"/>
        <v>0</v>
      </c>
      <c r="N116" s="11">
        <f t="shared" si="46"/>
        <v>0</v>
      </c>
      <c r="O116" s="12">
        <f t="shared" si="47"/>
        <v>0</v>
      </c>
      <c r="P116" s="11">
        <f t="shared" si="48"/>
        <v>0</v>
      </c>
      <c r="Q116" s="12">
        <f t="shared" si="49"/>
        <v>0</v>
      </c>
      <c r="R116" s="11">
        <f t="shared" si="50"/>
        <v>0</v>
      </c>
      <c r="S116" s="12">
        <f t="shared" si="51"/>
        <v>0</v>
      </c>
      <c r="T116" s="12">
        <f t="shared" si="52"/>
        <v>0</v>
      </c>
      <c r="U116" s="12">
        <f t="shared" si="53"/>
        <v>0</v>
      </c>
      <c r="V116" s="11">
        <f t="shared" si="54"/>
        <v>0</v>
      </c>
      <c r="W116" s="11">
        <f t="shared" si="55"/>
        <v>0</v>
      </c>
      <c r="X116" s="11">
        <f t="shared" si="56"/>
        <v>0</v>
      </c>
      <c r="Y116" s="11">
        <f t="shared" si="57"/>
        <v>0</v>
      </c>
      <c r="Z116" s="12">
        <f t="shared" si="58"/>
        <v>0</v>
      </c>
      <c r="AA116" s="11">
        <f t="shared" si="59"/>
        <v>0</v>
      </c>
      <c r="AB116" s="11">
        <f t="shared" si="60"/>
        <v>0</v>
      </c>
      <c r="AC116" s="11">
        <f t="shared" si="61"/>
        <v>0</v>
      </c>
      <c r="AD116" s="11">
        <f t="shared" si="62"/>
        <v>0</v>
      </c>
      <c r="AE116" s="13">
        <f t="shared" si="63"/>
        <v>0</v>
      </c>
      <c r="AF116" s="13">
        <f t="shared" si="64"/>
        <v>0</v>
      </c>
      <c r="AG116" s="11">
        <f t="shared" si="65"/>
        <v>0</v>
      </c>
      <c r="AH116" s="14" t="str">
        <f t="shared" si="67"/>
        <v>InvalidSymbolDetails</v>
      </c>
      <c r="AI116" s="12">
        <f t="shared" si="66"/>
        <v>0</v>
      </c>
    </row>
    <row r="117" spans="1:35" x14ac:dyDescent="0.25">
      <c r="A117" s="9"/>
      <c r="B117" s="9"/>
      <c r="C117" s="10" t="str">
        <f t="shared" si="35"/>
        <v/>
      </c>
      <c r="D117" s="11">
        <f t="shared" si="36"/>
        <v>0</v>
      </c>
      <c r="E117" s="11">
        <f t="shared" si="37"/>
        <v>0</v>
      </c>
      <c r="F117" s="11">
        <f t="shared" si="38"/>
        <v>0</v>
      </c>
      <c r="G117" s="12">
        <f t="shared" si="39"/>
        <v>0</v>
      </c>
      <c r="H117" s="11">
        <f t="shared" si="40"/>
        <v>0</v>
      </c>
      <c r="I117" s="11">
        <f t="shared" si="41"/>
        <v>0</v>
      </c>
      <c r="J117" s="12">
        <f t="shared" si="42"/>
        <v>0</v>
      </c>
      <c r="K117" s="11">
        <f t="shared" si="43"/>
        <v>0</v>
      </c>
      <c r="L117" s="12">
        <f t="shared" si="44"/>
        <v>0</v>
      </c>
      <c r="M117" s="12">
        <f t="shared" si="45"/>
        <v>0</v>
      </c>
      <c r="N117" s="11">
        <f t="shared" si="46"/>
        <v>0</v>
      </c>
      <c r="O117" s="12">
        <f t="shared" si="47"/>
        <v>0</v>
      </c>
      <c r="P117" s="11">
        <f t="shared" si="48"/>
        <v>0</v>
      </c>
      <c r="Q117" s="12">
        <f t="shared" si="49"/>
        <v>0</v>
      </c>
      <c r="R117" s="11">
        <f t="shared" si="50"/>
        <v>0</v>
      </c>
      <c r="S117" s="12">
        <f t="shared" si="51"/>
        <v>0</v>
      </c>
      <c r="T117" s="12">
        <f t="shared" si="52"/>
        <v>0</v>
      </c>
      <c r="U117" s="12">
        <f t="shared" si="53"/>
        <v>0</v>
      </c>
      <c r="V117" s="11">
        <f t="shared" si="54"/>
        <v>0</v>
      </c>
      <c r="W117" s="11">
        <f t="shared" si="55"/>
        <v>0</v>
      </c>
      <c r="X117" s="11">
        <f t="shared" si="56"/>
        <v>0</v>
      </c>
      <c r="Y117" s="11">
        <f t="shared" si="57"/>
        <v>0</v>
      </c>
      <c r="Z117" s="12">
        <f t="shared" si="58"/>
        <v>0</v>
      </c>
      <c r="AA117" s="11">
        <f t="shared" si="59"/>
        <v>0</v>
      </c>
      <c r="AB117" s="11">
        <f t="shared" si="60"/>
        <v>0</v>
      </c>
      <c r="AC117" s="11">
        <f t="shared" si="61"/>
        <v>0</v>
      </c>
      <c r="AD117" s="11">
        <f t="shared" si="62"/>
        <v>0</v>
      </c>
      <c r="AE117" s="13">
        <f t="shared" si="63"/>
        <v>0</v>
      </c>
      <c r="AF117" s="13">
        <f t="shared" si="64"/>
        <v>0</v>
      </c>
      <c r="AG117" s="11">
        <f t="shared" si="65"/>
        <v>0</v>
      </c>
      <c r="AH117" s="14" t="str">
        <f t="shared" si="67"/>
        <v>InvalidSymbolDetails</v>
      </c>
      <c r="AI117" s="12">
        <f t="shared" si="66"/>
        <v>0</v>
      </c>
    </row>
    <row r="118" spans="1:35" x14ac:dyDescent="0.25">
      <c r="A118" s="9"/>
      <c r="B118" s="9"/>
      <c r="C118" s="10" t="str">
        <f t="shared" si="35"/>
        <v/>
      </c>
      <c r="D118" s="11">
        <f t="shared" si="36"/>
        <v>0</v>
      </c>
      <c r="E118" s="11">
        <f t="shared" si="37"/>
        <v>0</v>
      </c>
      <c r="F118" s="11">
        <f t="shared" si="38"/>
        <v>0</v>
      </c>
      <c r="G118" s="12">
        <f t="shared" si="39"/>
        <v>0</v>
      </c>
      <c r="H118" s="11">
        <f t="shared" si="40"/>
        <v>0</v>
      </c>
      <c r="I118" s="11">
        <f t="shared" si="41"/>
        <v>0</v>
      </c>
      <c r="J118" s="12">
        <f t="shared" si="42"/>
        <v>0</v>
      </c>
      <c r="K118" s="11">
        <f t="shared" si="43"/>
        <v>0</v>
      </c>
      <c r="L118" s="12">
        <f t="shared" si="44"/>
        <v>0</v>
      </c>
      <c r="M118" s="12">
        <f t="shared" si="45"/>
        <v>0</v>
      </c>
      <c r="N118" s="11">
        <f t="shared" si="46"/>
        <v>0</v>
      </c>
      <c r="O118" s="12">
        <f t="shared" si="47"/>
        <v>0</v>
      </c>
      <c r="P118" s="11">
        <f t="shared" si="48"/>
        <v>0</v>
      </c>
      <c r="Q118" s="12">
        <f t="shared" si="49"/>
        <v>0</v>
      </c>
      <c r="R118" s="11">
        <f t="shared" si="50"/>
        <v>0</v>
      </c>
      <c r="S118" s="12">
        <f t="shared" si="51"/>
        <v>0</v>
      </c>
      <c r="T118" s="12">
        <f t="shared" si="52"/>
        <v>0</v>
      </c>
      <c r="U118" s="12">
        <f t="shared" si="53"/>
        <v>0</v>
      </c>
      <c r="V118" s="11">
        <f t="shared" si="54"/>
        <v>0</v>
      </c>
      <c r="W118" s="11">
        <f t="shared" si="55"/>
        <v>0</v>
      </c>
      <c r="X118" s="11">
        <f t="shared" si="56"/>
        <v>0</v>
      </c>
      <c r="Y118" s="11">
        <f t="shared" si="57"/>
        <v>0</v>
      </c>
      <c r="Z118" s="12">
        <f t="shared" si="58"/>
        <v>0</v>
      </c>
      <c r="AA118" s="11">
        <f t="shared" si="59"/>
        <v>0</v>
      </c>
      <c r="AB118" s="11">
        <f t="shared" si="60"/>
        <v>0</v>
      </c>
      <c r="AC118" s="11">
        <f t="shared" si="61"/>
        <v>0</v>
      </c>
      <c r="AD118" s="11">
        <f t="shared" si="62"/>
        <v>0</v>
      </c>
      <c r="AE118" s="13">
        <f t="shared" si="63"/>
        <v>0</v>
      </c>
      <c r="AF118" s="13">
        <f t="shared" si="64"/>
        <v>0</v>
      </c>
      <c r="AG118" s="11">
        <f t="shared" si="65"/>
        <v>0</v>
      </c>
      <c r="AH118" s="14" t="str">
        <f t="shared" si="67"/>
        <v>InvalidSymbolDetails</v>
      </c>
      <c r="AI118" s="12">
        <f t="shared" si="66"/>
        <v>0</v>
      </c>
    </row>
    <row r="119" spans="1:35" x14ac:dyDescent="0.25">
      <c r="A119" s="9"/>
      <c r="B119" s="9"/>
      <c r="C119" s="10" t="str">
        <f t="shared" si="35"/>
        <v/>
      </c>
      <c r="D119" s="11">
        <f t="shared" si="36"/>
        <v>0</v>
      </c>
      <c r="E119" s="11">
        <f t="shared" si="37"/>
        <v>0</v>
      </c>
      <c r="F119" s="11">
        <f t="shared" si="38"/>
        <v>0</v>
      </c>
      <c r="G119" s="12">
        <f t="shared" si="39"/>
        <v>0</v>
      </c>
      <c r="H119" s="11">
        <f t="shared" si="40"/>
        <v>0</v>
      </c>
      <c r="I119" s="11">
        <f t="shared" si="41"/>
        <v>0</v>
      </c>
      <c r="J119" s="12">
        <f t="shared" si="42"/>
        <v>0</v>
      </c>
      <c r="K119" s="11">
        <f t="shared" si="43"/>
        <v>0</v>
      </c>
      <c r="L119" s="12">
        <f t="shared" si="44"/>
        <v>0</v>
      </c>
      <c r="M119" s="12">
        <f t="shared" si="45"/>
        <v>0</v>
      </c>
      <c r="N119" s="11">
        <f t="shared" si="46"/>
        <v>0</v>
      </c>
      <c r="O119" s="12">
        <f t="shared" si="47"/>
        <v>0</v>
      </c>
      <c r="P119" s="11">
        <f t="shared" si="48"/>
        <v>0</v>
      </c>
      <c r="Q119" s="12">
        <f t="shared" si="49"/>
        <v>0</v>
      </c>
      <c r="R119" s="11">
        <f t="shared" si="50"/>
        <v>0</v>
      </c>
      <c r="S119" s="12">
        <f t="shared" si="51"/>
        <v>0</v>
      </c>
      <c r="T119" s="12">
        <f t="shared" si="52"/>
        <v>0</v>
      </c>
      <c r="U119" s="12">
        <f t="shared" si="53"/>
        <v>0</v>
      </c>
      <c r="V119" s="11">
        <f t="shared" si="54"/>
        <v>0</v>
      </c>
      <c r="W119" s="11">
        <f t="shared" si="55"/>
        <v>0</v>
      </c>
      <c r="X119" s="11">
        <f t="shared" si="56"/>
        <v>0</v>
      </c>
      <c r="Y119" s="11">
        <f t="shared" si="57"/>
        <v>0</v>
      </c>
      <c r="Z119" s="12">
        <f t="shared" si="58"/>
        <v>0</v>
      </c>
      <c r="AA119" s="11">
        <f t="shared" si="59"/>
        <v>0</v>
      </c>
      <c r="AB119" s="11">
        <f t="shared" si="60"/>
        <v>0</v>
      </c>
      <c r="AC119" s="11">
        <f t="shared" si="61"/>
        <v>0</v>
      </c>
      <c r="AD119" s="11">
        <f t="shared" si="62"/>
        <v>0</v>
      </c>
      <c r="AE119" s="13">
        <f t="shared" si="63"/>
        <v>0</v>
      </c>
      <c r="AF119" s="13">
        <f t="shared" si="64"/>
        <v>0</v>
      </c>
      <c r="AG119" s="11">
        <f t="shared" si="65"/>
        <v>0</v>
      </c>
      <c r="AH119" s="14" t="str">
        <f t="shared" si="67"/>
        <v>InvalidSymbolDetails</v>
      </c>
      <c r="AI119" s="12">
        <f t="shared" si="66"/>
        <v>0</v>
      </c>
    </row>
    <row r="120" spans="1:35" x14ac:dyDescent="0.25">
      <c r="A120" s="9"/>
      <c r="B120" s="9"/>
      <c r="C120" s="10" t="str">
        <f t="shared" si="35"/>
        <v/>
      </c>
      <c r="D120" s="11">
        <f t="shared" si="36"/>
        <v>0</v>
      </c>
      <c r="E120" s="11">
        <f t="shared" si="37"/>
        <v>0</v>
      </c>
      <c r="F120" s="11">
        <f t="shared" si="38"/>
        <v>0</v>
      </c>
      <c r="G120" s="12">
        <f t="shared" si="39"/>
        <v>0</v>
      </c>
      <c r="H120" s="11">
        <f t="shared" si="40"/>
        <v>0</v>
      </c>
      <c r="I120" s="11">
        <f t="shared" si="41"/>
        <v>0</v>
      </c>
      <c r="J120" s="12">
        <f t="shared" si="42"/>
        <v>0</v>
      </c>
      <c r="K120" s="11">
        <f t="shared" si="43"/>
        <v>0</v>
      </c>
      <c r="L120" s="12">
        <f t="shared" si="44"/>
        <v>0</v>
      </c>
      <c r="M120" s="12">
        <f t="shared" si="45"/>
        <v>0</v>
      </c>
      <c r="N120" s="11">
        <f t="shared" si="46"/>
        <v>0</v>
      </c>
      <c r="O120" s="12">
        <f t="shared" si="47"/>
        <v>0</v>
      </c>
      <c r="P120" s="11">
        <f t="shared" si="48"/>
        <v>0</v>
      </c>
      <c r="Q120" s="12">
        <f t="shared" si="49"/>
        <v>0</v>
      </c>
      <c r="R120" s="11">
        <f t="shared" si="50"/>
        <v>0</v>
      </c>
      <c r="S120" s="12">
        <f t="shared" si="51"/>
        <v>0</v>
      </c>
      <c r="T120" s="12">
        <f t="shared" si="52"/>
        <v>0</v>
      </c>
      <c r="U120" s="12">
        <f t="shared" si="53"/>
        <v>0</v>
      </c>
      <c r="V120" s="11">
        <f t="shared" si="54"/>
        <v>0</v>
      </c>
      <c r="W120" s="11">
        <f t="shared" si="55"/>
        <v>0</v>
      </c>
      <c r="X120" s="11">
        <f t="shared" si="56"/>
        <v>0</v>
      </c>
      <c r="Y120" s="11">
        <f t="shared" si="57"/>
        <v>0</v>
      </c>
      <c r="Z120" s="12">
        <f t="shared" si="58"/>
        <v>0</v>
      </c>
      <c r="AA120" s="11">
        <f t="shared" si="59"/>
        <v>0</v>
      </c>
      <c r="AB120" s="11">
        <f t="shared" si="60"/>
        <v>0</v>
      </c>
      <c r="AC120" s="11">
        <f t="shared" si="61"/>
        <v>0</v>
      </c>
      <c r="AD120" s="11">
        <f t="shared" si="62"/>
        <v>0</v>
      </c>
      <c r="AE120" s="13">
        <f t="shared" si="63"/>
        <v>0</v>
      </c>
      <c r="AF120" s="13">
        <f t="shared" si="64"/>
        <v>0</v>
      </c>
      <c r="AG120" s="11">
        <f t="shared" si="65"/>
        <v>0</v>
      </c>
      <c r="AH120" s="14" t="str">
        <f t="shared" si="67"/>
        <v>InvalidSymbolDetails</v>
      </c>
      <c r="AI120" s="12">
        <f t="shared" si="66"/>
        <v>0</v>
      </c>
    </row>
    <row r="121" spans="1:35" x14ac:dyDescent="0.25">
      <c r="A121" s="9"/>
      <c r="B121" s="9"/>
      <c r="C121" s="10" t="str">
        <f t="shared" si="35"/>
        <v/>
      </c>
      <c r="D121" s="11">
        <f t="shared" si="36"/>
        <v>0</v>
      </c>
      <c r="E121" s="11">
        <f t="shared" si="37"/>
        <v>0</v>
      </c>
      <c r="F121" s="11">
        <f t="shared" si="38"/>
        <v>0</v>
      </c>
      <c r="G121" s="12">
        <f t="shared" si="39"/>
        <v>0</v>
      </c>
      <c r="H121" s="11">
        <f t="shared" si="40"/>
        <v>0</v>
      </c>
      <c r="I121" s="11">
        <f t="shared" si="41"/>
        <v>0</v>
      </c>
      <c r="J121" s="12">
        <f t="shared" si="42"/>
        <v>0</v>
      </c>
      <c r="K121" s="11">
        <f t="shared" si="43"/>
        <v>0</v>
      </c>
      <c r="L121" s="12">
        <f t="shared" si="44"/>
        <v>0</v>
      </c>
      <c r="M121" s="12">
        <f t="shared" si="45"/>
        <v>0</v>
      </c>
      <c r="N121" s="11">
        <f t="shared" si="46"/>
        <v>0</v>
      </c>
      <c r="O121" s="12">
        <f t="shared" si="47"/>
        <v>0</v>
      </c>
      <c r="P121" s="11">
        <f t="shared" si="48"/>
        <v>0</v>
      </c>
      <c r="Q121" s="12">
        <f t="shared" si="49"/>
        <v>0</v>
      </c>
      <c r="R121" s="11">
        <f t="shared" si="50"/>
        <v>0</v>
      </c>
      <c r="S121" s="12">
        <f t="shared" si="51"/>
        <v>0</v>
      </c>
      <c r="T121" s="12">
        <f t="shared" si="52"/>
        <v>0</v>
      </c>
      <c r="U121" s="12">
        <f t="shared" si="53"/>
        <v>0</v>
      </c>
      <c r="V121" s="11">
        <f t="shared" si="54"/>
        <v>0</v>
      </c>
      <c r="W121" s="11">
        <f t="shared" si="55"/>
        <v>0</v>
      </c>
      <c r="X121" s="11">
        <f t="shared" si="56"/>
        <v>0</v>
      </c>
      <c r="Y121" s="11">
        <f t="shared" si="57"/>
        <v>0</v>
      </c>
      <c r="Z121" s="12">
        <f t="shared" si="58"/>
        <v>0</v>
      </c>
      <c r="AA121" s="11">
        <f t="shared" si="59"/>
        <v>0</v>
      </c>
      <c r="AB121" s="11">
        <f t="shared" si="60"/>
        <v>0</v>
      </c>
      <c r="AC121" s="11">
        <f t="shared" si="61"/>
        <v>0</v>
      </c>
      <c r="AD121" s="11">
        <f t="shared" si="62"/>
        <v>0</v>
      </c>
      <c r="AE121" s="13">
        <f t="shared" si="63"/>
        <v>0</v>
      </c>
      <c r="AF121" s="13">
        <f t="shared" si="64"/>
        <v>0</v>
      </c>
      <c r="AG121" s="11">
        <f t="shared" si="65"/>
        <v>0</v>
      </c>
      <c r="AH121" s="14" t="str">
        <f t="shared" si="67"/>
        <v>InvalidSymbolDetails</v>
      </c>
      <c r="AI121" s="12">
        <f t="shared" si="66"/>
        <v>0</v>
      </c>
    </row>
    <row r="122" spans="1:35" x14ac:dyDescent="0.25">
      <c r="A122" s="9"/>
      <c r="B122" s="9"/>
      <c r="C122" s="10" t="str">
        <f t="shared" si="35"/>
        <v/>
      </c>
      <c r="D122" s="11">
        <f t="shared" si="36"/>
        <v>0</v>
      </c>
      <c r="E122" s="11">
        <f t="shared" si="37"/>
        <v>0</v>
      </c>
      <c r="F122" s="11">
        <f t="shared" si="38"/>
        <v>0</v>
      </c>
      <c r="G122" s="12">
        <f t="shared" si="39"/>
        <v>0</v>
      </c>
      <c r="H122" s="11">
        <f t="shared" si="40"/>
        <v>0</v>
      </c>
      <c r="I122" s="11">
        <f t="shared" si="41"/>
        <v>0</v>
      </c>
      <c r="J122" s="12">
        <f t="shared" si="42"/>
        <v>0</v>
      </c>
      <c r="K122" s="11">
        <f t="shared" si="43"/>
        <v>0</v>
      </c>
      <c r="L122" s="12">
        <f t="shared" si="44"/>
        <v>0</v>
      </c>
      <c r="M122" s="12">
        <f t="shared" si="45"/>
        <v>0</v>
      </c>
      <c r="N122" s="11">
        <f t="shared" si="46"/>
        <v>0</v>
      </c>
      <c r="O122" s="12">
        <f t="shared" si="47"/>
        <v>0</v>
      </c>
      <c r="P122" s="11">
        <f t="shared" si="48"/>
        <v>0</v>
      </c>
      <c r="Q122" s="12">
        <f t="shared" si="49"/>
        <v>0</v>
      </c>
      <c r="R122" s="11">
        <f t="shared" si="50"/>
        <v>0</v>
      </c>
      <c r="S122" s="12">
        <f t="shared" si="51"/>
        <v>0</v>
      </c>
      <c r="T122" s="12">
        <f t="shared" si="52"/>
        <v>0</v>
      </c>
      <c r="U122" s="12">
        <f t="shared" si="53"/>
        <v>0</v>
      </c>
      <c r="V122" s="11">
        <f t="shared" si="54"/>
        <v>0</v>
      </c>
      <c r="W122" s="11">
        <f t="shared" si="55"/>
        <v>0</v>
      </c>
      <c r="X122" s="11">
        <f t="shared" si="56"/>
        <v>0</v>
      </c>
      <c r="Y122" s="11">
        <f t="shared" si="57"/>
        <v>0</v>
      </c>
      <c r="Z122" s="12">
        <f t="shared" si="58"/>
        <v>0</v>
      </c>
      <c r="AA122" s="11">
        <f t="shared" si="59"/>
        <v>0</v>
      </c>
      <c r="AB122" s="11">
        <f t="shared" si="60"/>
        <v>0</v>
      </c>
      <c r="AC122" s="11">
        <f t="shared" si="61"/>
        <v>0</v>
      </c>
      <c r="AD122" s="11">
        <f t="shared" si="62"/>
        <v>0</v>
      </c>
      <c r="AE122" s="13">
        <f t="shared" si="63"/>
        <v>0</v>
      </c>
      <c r="AF122" s="13">
        <f t="shared" si="64"/>
        <v>0</v>
      </c>
      <c r="AG122" s="11">
        <f t="shared" si="65"/>
        <v>0</v>
      </c>
      <c r="AH122" s="14" t="str">
        <f t="shared" si="67"/>
        <v>InvalidSymbolDetails</v>
      </c>
      <c r="AI122" s="12">
        <f t="shared" si="66"/>
        <v>0</v>
      </c>
    </row>
    <row r="123" spans="1:35" x14ac:dyDescent="0.25">
      <c r="A123" s="9"/>
      <c r="B123" s="9"/>
      <c r="C123" s="10" t="str">
        <f t="shared" si="35"/>
        <v/>
      </c>
      <c r="D123" s="11">
        <f t="shared" si="36"/>
        <v>0</v>
      </c>
      <c r="E123" s="11">
        <f t="shared" si="37"/>
        <v>0</v>
      </c>
      <c r="F123" s="11">
        <f t="shared" si="38"/>
        <v>0</v>
      </c>
      <c r="G123" s="12">
        <f t="shared" si="39"/>
        <v>0</v>
      </c>
      <c r="H123" s="11">
        <f t="shared" si="40"/>
        <v>0</v>
      </c>
      <c r="I123" s="11">
        <f t="shared" si="41"/>
        <v>0</v>
      </c>
      <c r="J123" s="12">
        <f t="shared" si="42"/>
        <v>0</v>
      </c>
      <c r="K123" s="11">
        <f t="shared" si="43"/>
        <v>0</v>
      </c>
      <c r="L123" s="12">
        <f t="shared" si="44"/>
        <v>0</v>
      </c>
      <c r="M123" s="12">
        <f t="shared" si="45"/>
        <v>0</v>
      </c>
      <c r="N123" s="11">
        <f t="shared" si="46"/>
        <v>0</v>
      </c>
      <c r="O123" s="12">
        <f t="shared" si="47"/>
        <v>0</v>
      </c>
      <c r="P123" s="11">
        <f t="shared" si="48"/>
        <v>0</v>
      </c>
      <c r="Q123" s="12">
        <f t="shared" si="49"/>
        <v>0</v>
      </c>
      <c r="R123" s="11">
        <f t="shared" si="50"/>
        <v>0</v>
      </c>
      <c r="S123" s="12">
        <f t="shared" si="51"/>
        <v>0</v>
      </c>
      <c r="T123" s="12">
        <f t="shared" si="52"/>
        <v>0</v>
      </c>
      <c r="U123" s="12">
        <f t="shared" si="53"/>
        <v>0</v>
      </c>
      <c r="V123" s="11">
        <f t="shared" si="54"/>
        <v>0</v>
      </c>
      <c r="W123" s="11">
        <f t="shared" si="55"/>
        <v>0</v>
      </c>
      <c r="X123" s="11">
        <f t="shared" si="56"/>
        <v>0</v>
      </c>
      <c r="Y123" s="11">
        <f t="shared" si="57"/>
        <v>0</v>
      </c>
      <c r="Z123" s="12">
        <f t="shared" si="58"/>
        <v>0</v>
      </c>
      <c r="AA123" s="11">
        <f t="shared" si="59"/>
        <v>0</v>
      </c>
      <c r="AB123" s="11">
        <f t="shared" si="60"/>
        <v>0</v>
      </c>
      <c r="AC123" s="11">
        <f t="shared" si="61"/>
        <v>0</v>
      </c>
      <c r="AD123" s="11">
        <f t="shared" si="62"/>
        <v>0</v>
      </c>
      <c r="AE123" s="13">
        <f t="shared" si="63"/>
        <v>0</v>
      </c>
      <c r="AF123" s="13">
        <f t="shared" si="64"/>
        <v>0</v>
      </c>
      <c r="AG123" s="11">
        <f t="shared" si="65"/>
        <v>0</v>
      </c>
      <c r="AH123" s="14" t="str">
        <f t="shared" si="67"/>
        <v>InvalidSymbolDetails</v>
      </c>
      <c r="AI123" s="12">
        <f t="shared" si="66"/>
        <v>0</v>
      </c>
    </row>
    <row r="124" spans="1:35" x14ac:dyDescent="0.25">
      <c r="A124" s="9"/>
      <c r="B124" s="9"/>
      <c r="C124" s="10" t="str">
        <f t="shared" si="35"/>
        <v/>
      </c>
      <c r="D124" s="11">
        <f t="shared" si="36"/>
        <v>0</v>
      </c>
      <c r="E124" s="11">
        <f t="shared" si="37"/>
        <v>0</v>
      </c>
      <c r="F124" s="11">
        <f t="shared" si="38"/>
        <v>0</v>
      </c>
      <c r="G124" s="12">
        <f t="shared" si="39"/>
        <v>0</v>
      </c>
      <c r="H124" s="11">
        <f t="shared" si="40"/>
        <v>0</v>
      </c>
      <c r="I124" s="11">
        <f t="shared" si="41"/>
        <v>0</v>
      </c>
      <c r="J124" s="12">
        <f t="shared" si="42"/>
        <v>0</v>
      </c>
      <c r="K124" s="11">
        <f t="shared" si="43"/>
        <v>0</v>
      </c>
      <c r="L124" s="12">
        <f t="shared" si="44"/>
        <v>0</v>
      </c>
      <c r="M124" s="12">
        <f t="shared" si="45"/>
        <v>0</v>
      </c>
      <c r="N124" s="11">
        <f t="shared" si="46"/>
        <v>0</v>
      </c>
      <c r="O124" s="12">
        <f t="shared" si="47"/>
        <v>0</v>
      </c>
      <c r="P124" s="11">
        <f t="shared" si="48"/>
        <v>0</v>
      </c>
      <c r="Q124" s="12">
        <f t="shared" si="49"/>
        <v>0</v>
      </c>
      <c r="R124" s="11">
        <f t="shared" si="50"/>
        <v>0</v>
      </c>
      <c r="S124" s="12">
        <f t="shared" si="51"/>
        <v>0</v>
      </c>
      <c r="T124" s="12">
        <f t="shared" si="52"/>
        <v>0</v>
      </c>
      <c r="U124" s="12">
        <f t="shared" si="53"/>
        <v>0</v>
      </c>
      <c r="V124" s="11">
        <f t="shared" si="54"/>
        <v>0</v>
      </c>
      <c r="W124" s="11">
        <f t="shared" si="55"/>
        <v>0</v>
      </c>
      <c r="X124" s="11">
        <f t="shared" si="56"/>
        <v>0</v>
      </c>
      <c r="Y124" s="11">
        <f t="shared" si="57"/>
        <v>0</v>
      </c>
      <c r="Z124" s="12">
        <f t="shared" si="58"/>
        <v>0</v>
      </c>
      <c r="AA124" s="11">
        <f t="shared" si="59"/>
        <v>0</v>
      </c>
      <c r="AB124" s="11">
        <f t="shared" si="60"/>
        <v>0</v>
      </c>
      <c r="AC124" s="11">
        <f t="shared" si="61"/>
        <v>0</v>
      </c>
      <c r="AD124" s="11">
        <f t="shared" si="62"/>
        <v>0</v>
      </c>
      <c r="AE124" s="13">
        <f t="shared" si="63"/>
        <v>0</v>
      </c>
      <c r="AF124" s="13">
        <f t="shared" si="64"/>
        <v>0</v>
      </c>
      <c r="AG124" s="11">
        <f t="shared" si="65"/>
        <v>0</v>
      </c>
      <c r="AH124" s="14" t="str">
        <f t="shared" si="67"/>
        <v>InvalidSymbolDetails</v>
      </c>
      <c r="AI124" s="12">
        <f t="shared" si="66"/>
        <v>0</v>
      </c>
    </row>
    <row r="125" spans="1:35" x14ac:dyDescent="0.25">
      <c r="A125" s="9"/>
      <c r="B125" s="9"/>
      <c r="C125" s="10" t="str">
        <f t="shared" si="35"/>
        <v/>
      </c>
      <c r="D125" s="11">
        <f t="shared" si="36"/>
        <v>0</v>
      </c>
      <c r="E125" s="11">
        <f t="shared" si="37"/>
        <v>0</v>
      </c>
      <c r="F125" s="11">
        <f t="shared" si="38"/>
        <v>0</v>
      </c>
      <c r="G125" s="12">
        <f t="shared" si="39"/>
        <v>0</v>
      </c>
      <c r="H125" s="11">
        <f t="shared" si="40"/>
        <v>0</v>
      </c>
      <c r="I125" s="11">
        <f t="shared" si="41"/>
        <v>0</v>
      </c>
      <c r="J125" s="12">
        <f t="shared" si="42"/>
        <v>0</v>
      </c>
      <c r="K125" s="11">
        <f t="shared" si="43"/>
        <v>0</v>
      </c>
      <c r="L125" s="12">
        <f t="shared" si="44"/>
        <v>0</v>
      </c>
      <c r="M125" s="12">
        <f t="shared" si="45"/>
        <v>0</v>
      </c>
      <c r="N125" s="11">
        <f t="shared" si="46"/>
        <v>0</v>
      </c>
      <c r="O125" s="12">
        <f t="shared" si="47"/>
        <v>0</v>
      </c>
      <c r="P125" s="11">
        <f t="shared" si="48"/>
        <v>0</v>
      </c>
      <c r="Q125" s="12">
        <f t="shared" si="49"/>
        <v>0</v>
      </c>
      <c r="R125" s="11">
        <f t="shared" si="50"/>
        <v>0</v>
      </c>
      <c r="S125" s="12">
        <f t="shared" si="51"/>
        <v>0</v>
      </c>
      <c r="T125" s="12">
        <f t="shared" si="52"/>
        <v>0</v>
      </c>
      <c r="U125" s="12">
        <f t="shared" si="53"/>
        <v>0</v>
      </c>
      <c r="V125" s="11">
        <f t="shared" si="54"/>
        <v>0</v>
      </c>
      <c r="W125" s="11">
        <f t="shared" si="55"/>
        <v>0</v>
      </c>
      <c r="X125" s="11">
        <f t="shared" si="56"/>
        <v>0</v>
      </c>
      <c r="Y125" s="11">
        <f t="shared" si="57"/>
        <v>0</v>
      </c>
      <c r="Z125" s="12">
        <f t="shared" si="58"/>
        <v>0</v>
      </c>
      <c r="AA125" s="11">
        <f t="shared" si="59"/>
        <v>0</v>
      </c>
      <c r="AB125" s="11">
        <f t="shared" si="60"/>
        <v>0</v>
      </c>
      <c r="AC125" s="11">
        <f t="shared" si="61"/>
        <v>0</v>
      </c>
      <c r="AD125" s="11">
        <f t="shared" si="62"/>
        <v>0</v>
      </c>
      <c r="AE125" s="13">
        <f t="shared" si="63"/>
        <v>0</v>
      </c>
      <c r="AF125" s="13">
        <f t="shared" si="64"/>
        <v>0</v>
      </c>
      <c r="AG125" s="11">
        <f t="shared" si="65"/>
        <v>0</v>
      </c>
      <c r="AH125" s="14" t="str">
        <f t="shared" si="67"/>
        <v>InvalidSymbolDetails</v>
      </c>
      <c r="AI125" s="12">
        <f t="shared" si="66"/>
        <v>0</v>
      </c>
    </row>
    <row r="126" spans="1:35" x14ac:dyDescent="0.25">
      <c r="A126" s="9"/>
      <c r="B126" s="9"/>
      <c r="C126" s="10" t="str">
        <f t="shared" si="35"/>
        <v/>
      </c>
      <c r="D126" s="11">
        <f t="shared" si="36"/>
        <v>0</v>
      </c>
      <c r="E126" s="11">
        <f t="shared" si="37"/>
        <v>0</v>
      </c>
      <c r="F126" s="11">
        <f t="shared" si="38"/>
        <v>0</v>
      </c>
      <c r="G126" s="12">
        <f t="shared" si="39"/>
        <v>0</v>
      </c>
      <c r="H126" s="11">
        <f t="shared" si="40"/>
        <v>0</v>
      </c>
      <c r="I126" s="11">
        <f t="shared" si="41"/>
        <v>0</v>
      </c>
      <c r="J126" s="12">
        <f t="shared" si="42"/>
        <v>0</v>
      </c>
      <c r="K126" s="11">
        <f t="shared" si="43"/>
        <v>0</v>
      </c>
      <c r="L126" s="12">
        <f t="shared" si="44"/>
        <v>0</v>
      </c>
      <c r="M126" s="12">
        <f t="shared" si="45"/>
        <v>0</v>
      </c>
      <c r="N126" s="11">
        <f t="shared" si="46"/>
        <v>0</v>
      </c>
      <c r="O126" s="12">
        <f t="shared" si="47"/>
        <v>0</v>
      </c>
      <c r="P126" s="11">
        <f t="shared" si="48"/>
        <v>0</v>
      </c>
      <c r="Q126" s="12">
        <f t="shared" si="49"/>
        <v>0</v>
      </c>
      <c r="R126" s="11">
        <f t="shared" si="50"/>
        <v>0</v>
      </c>
      <c r="S126" s="12">
        <f t="shared" si="51"/>
        <v>0</v>
      </c>
      <c r="T126" s="12">
        <f t="shared" si="52"/>
        <v>0</v>
      </c>
      <c r="U126" s="12">
        <f t="shared" si="53"/>
        <v>0</v>
      </c>
      <c r="V126" s="11">
        <f t="shared" si="54"/>
        <v>0</v>
      </c>
      <c r="W126" s="11">
        <f t="shared" si="55"/>
        <v>0</v>
      </c>
      <c r="X126" s="11">
        <f t="shared" si="56"/>
        <v>0</v>
      </c>
      <c r="Y126" s="11">
        <f t="shared" si="57"/>
        <v>0</v>
      </c>
      <c r="Z126" s="12">
        <f t="shared" si="58"/>
        <v>0</v>
      </c>
      <c r="AA126" s="11">
        <f t="shared" si="59"/>
        <v>0</v>
      </c>
      <c r="AB126" s="11">
        <f t="shared" si="60"/>
        <v>0</v>
      </c>
      <c r="AC126" s="11">
        <f t="shared" si="61"/>
        <v>0</v>
      </c>
      <c r="AD126" s="11">
        <f t="shared" si="62"/>
        <v>0</v>
      </c>
      <c r="AE126" s="13">
        <f t="shared" si="63"/>
        <v>0</v>
      </c>
      <c r="AF126" s="13">
        <f t="shared" si="64"/>
        <v>0</v>
      </c>
      <c r="AG126" s="11">
        <f t="shared" si="65"/>
        <v>0</v>
      </c>
      <c r="AH126" s="14" t="str">
        <f t="shared" si="67"/>
        <v>InvalidSymbolDetails</v>
      </c>
      <c r="AI126" s="12">
        <f t="shared" si="66"/>
        <v>0</v>
      </c>
    </row>
    <row r="127" spans="1:35" x14ac:dyDescent="0.25">
      <c r="A127" s="9"/>
      <c r="B127" s="9"/>
      <c r="C127" s="10" t="str">
        <f t="shared" si="35"/>
        <v/>
      </c>
      <c r="D127" s="11">
        <f t="shared" si="36"/>
        <v>0</v>
      </c>
      <c r="E127" s="11">
        <f t="shared" si="37"/>
        <v>0</v>
      </c>
      <c r="F127" s="11">
        <f t="shared" si="38"/>
        <v>0</v>
      </c>
      <c r="G127" s="12">
        <f t="shared" si="39"/>
        <v>0</v>
      </c>
      <c r="H127" s="11">
        <f t="shared" si="40"/>
        <v>0</v>
      </c>
      <c r="I127" s="11">
        <f t="shared" si="41"/>
        <v>0</v>
      </c>
      <c r="J127" s="12">
        <f t="shared" si="42"/>
        <v>0</v>
      </c>
      <c r="K127" s="11">
        <f t="shared" si="43"/>
        <v>0</v>
      </c>
      <c r="L127" s="12">
        <f t="shared" si="44"/>
        <v>0</v>
      </c>
      <c r="M127" s="12">
        <f t="shared" si="45"/>
        <v>0</v>
      </c>
      <c r="N127" s="11">
        <f t="shared" si="46"/>
        <v>0</v>
      </c>
      <c r="O127" s="12">
        <f t="shared" si="47"/>
        <v>0</v>
      </c>
      <c r="P127" s="11">
        <f t="shared" si="48"/>
        <v>0</v>
      </c>
      <c r="Q127" s="12">
        <f t="shared" si="49"/>
        <v>0</v>
      </c>
      <c r="R127" s="11">
        <f t="shared" si="50"/>
        <v>0</v>
      </c>
      <c r="S127" s="12">
        <f t="shared" si="51"/>
        <v>0</v>
      </c>
      <c r="T127" s="12">
        <f t="shared" si="52"/>
        <v>0</v>
      </c>
      <c r="U127" s="12">
        <f t="shared" si="53"/>
        <v>0</v>
      </c>
      <c r="V127" s="11">
        <f t="shared" si="54"/>
        <v>0</v>
      </c>
      <c r="W127" s="11">
        <f t="shared" si="55"/>
        <v>0</v>
      </c>
      <c r="X127" s="11">
        <f t="shared" si="56"/>
        <v>0</v>
      </c>
      <c r="Y127" s="11">
        <f t="shared" si="57"/>
        <v>0</v>
      </c>
      <c r="Z127" s="12">
        <f t="shared" si="58"/>
        <v>0</v>
      </c>
      <c r="AA127" s="11">
        <f t="shared" si="59"/>
        <v>0</v>
      </c>
      <c r="AB127" s="11">
        <f t="shared" si="60"/>
        <v>0</v>
      </c>
      <c r="AC127" s="11">
        <f t="shared" si="61"/>
        <v>0</v>
      </c>
      <c r="AD127" s="11">
        <f t="shared" si="62"/>
        <v>0</v>
      </c>
      <c r="AE127" s="13">
        <f t="shared" si="63"/>
        <v>0</v>
      </c>
      <c r="AF127" s="13">
        <f t="shared" si="64"/>
        <v>0</v>
      </c>
      <c r="AG127" s="11">
        <f t="shared" si="65"/>
        <v>0</v>
      </c>
      <c r="AH127" s="14" t="str">
        <f t="shared" si="67"/>
        <v>InvalidSymbolDetails</v>
      </c>
      <c r="AI127" s="12">
        <f t="shared" si="66"/>
        <v>0</v>
      </c>
    </row>
    <row r="128" spans="1:35" x14ac:dyDescent="0.25">
      <c r="A128" s="9"/>
      <c r="B128" s="9"/>
      <c r="C128" s="10" t="str">
        <f t="shared" si="35"/>
        <v/>
      </c>
      <c r="D128" s="11">
        <f t="shared" si="36"/>
        <v>0</v>
      </c>
      <c r="E128" s="11">
        <f t="shared" si="37"/>
        <v>0</v>
      </c>
      <c r="F128" s="11">
        <f t="shared" si="38"/>
        <v>0</v>
      </c>
      <c r="G128" s="12">
        <f t="shared" si="39"/>
        <v>0</v>
      </c>
      <c r="H128" s="11">
        <f t="shared" si="40"/>
        <v>0</v>
      </c>
      <c r="I128" s="11">
        <f t="shared" si="41"/>
        <v>0</v>
      </c>
      <c r="J128" s="12">
        <f t="shared" si="42"/>
        <v>0</v>
      </c>
      <c r="K128" s="11">
        <f t="shared" si="43"/>
        <v>0</v>
      </c>
      <c r="L128" s="12">
        <f t="shared" si="44"/>
        <v>0</v>
      </c>
      <c r="M128" s="12">
        <f t="shared" si="45"/>
        <v>0</v>
      </c>
      <c r="N128" s="11">
        <f t="shared" si="46"/>
        <v>0</v>
      </c>
      <c r="O128" s="12">
        <f t="shared" si="47"/>
        <v>0</v>
      </c>
      <c r="P128" s="11">
        <f t="shared" si="48"/>
        <v>0</v>
      </c>
      <c r="Q128" s="12">
        <f t="shared" si="49"/>
        <v>0</v>
      </c>
      <c r="R128" s="11">
        <f t="shared" si="50"/>
        <v>0</v>
      </c>
      <c r="S128" s="12">
        <f t="shared" si="51"/>
        <v>0</v>
      </c>
      <c r="T128" s="12">
        <f t="shared" si="52"/>
        <v>0</v>
      </c>
      <c r="U128" s="12">
        <f t="shared" si="53"/>
        <v>0</v>
      </c>
      <c r="V128" s="11">
        <f t="shared" si="54"/>
        <v>0</v>
      </c>
      <c r="W128" s="11">
        <f t="shared" si="55"/>
        <v>0</v>
      </c>
      <c r="X128" s="11">
        <f t="shared" si="56"/>
        <v>0</v>
      </c>
      <c r="Y128" s="11">
        <f t="shared" si="57"/>
        <v>0</v>
      </c>
      <c r="Z128" s="12">
        <f t="shared" si="58"/>
        <v>0</v>
      </c>
      <c r="AA128" s="11">
        <f t="shared" si="59"/>
        <v>0</v>
      </c>
      <c r="AB128" s="11">
        <f t="shared" si="60"/>
        <v>0</v>
      </c>
      <c r="AC128" s="11">
        <f t="shared" si="61"/>
        <v>0</v>
      </c>
      <c r="AD128" s="11">
        <f t="shared" si="62"/>
        <v>0</v>
      </c>
      <c r="AE128" s="13">
        <f t="shared" si="63"/>
        <v>0</v>
      </c>
      <c r="AF128" s="13">
        <f t="shared" si="64"/>
        <v>0</v>
      </c>
      <c r="AG128" s="11">
        <f t="shared" si="65"/>
        <v>0</v>
      </c>
      <c r="AH128" s="14" t="str">
        <f t="shared" si="67"/>
        <v>InvalidSymbolDetails</v>
      </c>
      <c r="AI128" s="12">
        <f t="shared" si="66"/>
        <v>0</v>
      </c>
    </row>
    <row r="129" spans="1:35" x14ac:dyDescent="0.25">
      <c r="A129" s="9"/>
      <c r="B129" s="9"/>
      <c r="C129" s="10" t="str">
        <f t="shared" si="35"/>
        <v/>
      </c>
      <c r="D129" s="11">
        <f t="shared" si="36"/>
        <v>0</v>
      </c>
      <c r="E129" s="11">
        <f t="shared" si="37"/>
        <v>0</v>
      </c>
      <c r="F129" s="11">
        <f t="shared" si="38"/>
        <v>0</v>
      </c>
      <c r="G129" s="12">
        <f t="shared" si="39"/>
        <v>0</v>
      </c>
      <c r="H129" s="11">
        <f t="shared" si="40"/>
        <v>0</v>
      </c>
      <c r="I129" s="11">
        <f t="shared" si="41"/>
        <v>0</v>
      </c>
      <c r="J129" s="12">
        <f t="shared" si="42"/>
        <v>0</v>
      </c>
      <c r="K129" s="11">
        <f t="shared" si="43"/>
        <v>0</v>
      </c>
      <c r="L129" s="12">
        <f t="shared" si="44"/>
        <v>0</v>
      </c>
      <c r="M129" s="12">
        <f t="shared" si="45"/>
        <v>0</v>
      </c>
      <c r="N129" s="11">
        <f t="shared" si="46"/>
        <v>0</v>
      </c>
      <c r="O129" s="12">
        <f t="shared" si="47"/>
        <v>0</v>
      </c>
      <c r="P129" s="11">
        <f t="shared" si="48"/>
        <v>0</v>
      </c>
      <c r="Q129" s="12">
        <f t="shared" si="49"/>
        <v>0</v>
      </c>
      <c r="R129" s="11">
        <f t="shared" si="50"/>
        <v>0</v>
      </c>
      <c r="S129" s="12">
        <f t="shared" si="51"/>
        <v>0</v>
      </c>
      <c r="T129" s="12">
        <f t="shared" si="52"/>
        <v>0</v>
      </c>
      <c r="U129" s="12">
        <f t="shared" si="53"/>
        <v>0</v>
      </c>
      <c r="V129" s="11">
        <f t="shared" si="54"/>
        <v>0</v>
      </c>
      <c r="W129" s="11">
        <f t="shared" si="55"/>
        <v>0</v>
      </c>
      <c r="X129" s="11">
        <f t="shared" si="56"/>
        <v>0</v>
      </c>
      <c r="Y129" s="11">
        <f t="shared" si="57"/>
        <v>0</v>
      </c>
      <c r="Z129" s="12">
        <f t="shared" si="58"/>
        <v>0</v>
      </c>
      <c r="AA129" s="11">
        <f t="shared" si="59"/>
        <v>0</v>
      </c>
      <c r="AB129" s="11">
        <f t="shared" si="60"/>
        <v>0</v>
      </c>
      <c r="AC129" s="11">
        <f t="shared" si="61"/>
        <v>0</v>
      </c>
      <c r="AD129" s="11">
        <f t="shared" si="62"/>
        <v>0</v>
      </c>
      <c r="AE129" s="13">
        <f t="shared" si="63"/>
        <v>0</v>
      </c>
      <c r="AF129" s="13">
        <f t="shared" si="64"/>
        <v>0</v>
      </c>
      <c r="AG129" s="11">
        <f t="shared" si="65"/>
        <v>0</v>
      </c>
      <c r="AH129" s="14" t="str">
        <f t="shared" si="67"/>
        <v>InvalidSymbolDetails</v>
      </c>
      <c r="AI129" s="12">
        <f t="shared" si="66"/>
        <v>0</v>
      </c>
    </row>
    <row r="130" spans="1:35" x14ac:dyDescent="0.25">
      <c r="A130" s="9"/>
      <c r="B130" s="9"/>
      <c r="C130" s="10" t="str">
        <f t="shared" si="35"/>
        <v/>
      </c>
      <c r="D130" s="11">
        <f t="shared" si="36"/>
        <v>0</v>
      </c>
      <c r="E130" s="11">
        <f t="shared" si="37"/>
        <v>0</v>
      </c>
      <c r="F130" s="11">
        <f t="shared" si="38"/>
        <v>0</v>
      </c>
      <c r="G130" s="12">
        <f t="shared" si="39"/>
        <v>0</v>
      </c>
      <c r="H130" s="11">
        <f t="shared" si="40"/>
        <v>0</v>
      </c>
      <c r="I130" s="11">
        <f t="shared" si="41"/>
        <v>0</v>
      </c>
      <c r="J130" s="12">
        <f t="shared" si="42"/>
        <v>0</v>
      </c>
      <c r="K130" s="11">
        <f t="shared" si="43"/>
        <v>0</v>
      </c>
      <c r="L130" s="12">
        <f t="shared" si="44"/>
        <v>0</v>
      </c>
      <c r="M130" s="12">
        <f t="shared" si="45"/>
        <v>0</v>
      </c>
      <c r="N130" s="11">
        <f t="shared" si="46"/>
        <v>0</v>
      </c>
      <c r="O130" s="12">
        <f t="shared" si="47"/>
        <v>0</v>
      </c>
      <c r="P130" s="11">
        <f t="shared" si="48"/>
        <v>0</v>
      </c>
      <c r="Q130" s="12">
        <f t="shared" si="49"/>
        <v>0</v>
      </c>
      <c r="R130" s="11">
        <f t="shared" si="50"/>
        <v>0</v>
      </c>
      <c r="S130" s="12">
        <f t="shared" si="51"/>
        <v>0</v>
      </c>
      <c r="T130" s="12">
        <f t="shared" si="52"/>
        <v>0</v>
      </c>
      <c r="U130" s="12">
        <f t="shared" si="53"/>
        <v>0</v>
      </c>
      <c r="V130" s="11">
        <f t="shared" si="54"/>
        <v>0</v>
      </c>
      <c r="W130" s="11">
        <f t="shared" si="55"/>
        <v>0</v>
      </c>
      <c r="X130" s="11">
        <f t="shared" si="56"/>
        <v>0</v>
      </c>
      <c r="Y130" s="11">
        <f t="shared" si="57"/>
        <v>0</v>
      </c>
      <c r="Z130" s="12">
        <f t="shared" si="58"/>
        <v>0</v>
      </c>
      <c r="AA130" s="11">
        <f t="shared" si="59"/>
        <v>0</v>
      </c>
      <c r="AB130" s="11">
        <f t="shared" si="60"/>
        <v>0</v>
      </c>
      <c r="AC130" s="11">
        <f t="shared" si="61"/>
        <v>0</v>
      </c>
      <c r="AD130" s="11">
        <f t="shared" si="62"/>
        <v>0</v>
      </c>
      <c r="AE130" s="13">
        <f t="shared" si="63"/>
        <v>0</v>
      </c>
      <c r="AF130" s="13">
        <f t="shared" si="64"/>
        <v>0</v>
      </c>
      <c r="AG130" s="11">
        <f t="shared" si="65"/>
        <v>0</v>
      </c>
      <c r="AH130" s="14" t="str">
        <f t="shared" ref="AH130:AH161" si="68">SubscribeQuotes(A130,B130)</f>
        <v>InvalidSymbolDetails</v>
      </c>
      <c r="AI130" s="12">
        <f t="shared" si="66"/>
        <v>0</v>
      </c>
    </row>
    <row r="131" spans="1:35" x14ac:dyDescent="0.25">
      <c r="A131" s="9"/>
      <c r="B131" s="9"/>
      <c r="C131" s="10" t="str">
        <f t="shared" ref="C131:C194" si="69">IF(D131&gt;0,"MKT DEPTH","")</f>
        <v/>
      </c>
      <c r="D131" s="11">
        <f t="shared" ref="D131:D194" si="70">GetRTD(A131,B131,"LAST")</f>
        <v>0</v>
      </c>
      <c r="E131" s="11">
        <f t="shared" ref="E131:E194" si="71">GetRTD(A131,B131,"PCTCHG")</f>
        <v>0</v>
      </c>
      <c r="F131" s="11">
        <f t="shared" ref="F131:F194" si="72">GetRTD(A131,B131,"NETCHG")</f>
        <v>0</v>
      </c>
      <c r="G131" s="12">
        <f t="shared" ref="G131:G194" si="73">GetRTD(A131,B131,"NETQTY")</f>
        <v>0</v>
      </c>
      <c r="H131" s="11">
        <f t="shared" ref="H131:H194" si="74">GetRTD(A131,B131,"MTM")</f>
        <v>0</v>
      </c>
      <c r="I131" s="11">
        <f t="shared" ref="I131:I194" si="75">GetRTD(A131,B131,"AVGBOUGHTPRICE")</f>
        <v>0</v>
      </c>
      <c r="J131" s="12">
        <f t="shared" ref="J131:J194" si="76">GetRTD(A131,B131,"BOUGHTQTY")</f>
        <v>0</v>
      </c>
      <c r="K131" s="11">
        <f t="shared" ref="K131:K194" si="77">GetRTD(A131,B131,"AVGSOLDPRICE")</f>
        <v>0</v>
      </c>
      <c r="L131" s="12">
        <f t="shared" ref="L131:L194" si="78">GetRTD(A131,B131,"SOLDQTY")</f>
        <v>0</v>
      </c>
      <c r="M131" s="12">
        <f t="shared" ref="M131:M194" si="79">GetRTD(A131,B131,"LASTSIZE")</f>
        <v>0</v>
      </c>
      <c r="N131" s="11">
        <f t="shared" ref="N131:N194" si="80">GetRTD(A131,B131,"BID")</f>
        <v>0</v>
      </c>
      <c r="O131" s="12">
        <f t="shared" ref="O131:O194" si="81">GetRTD(A131,B131,"BIDSIZE")</f>
        <v>0</v>
      </c>
      <c r="P131" s="11">
        <f t="shared" ref="P131:P194" si="82">GetRTD(A131,B131,"ASK")</f>
        <v>0</v>
      </c>
      <c r="Q131" s="12">
        <f t="shared" ref="Q131:Q194" si="83">GetRTD(A131,B131,"ASKSIZE")</f>
        <v>0</v>
      </c>
      <c r="R131" s="11">
        <f t="shared" ref="R131:R194" si="84">GetRTD(A131,B131,"AVGPRICE")</f>
        <v>0</v>
      </c>
      <c r="S131" s="12">
        <f t="shared" ref="S131:S194" si="85">GetRTD(A131,B131,"VOLUME")</f>
        <v>0</v>
      </c>
      <c r="T131" s="12">
        <f t="shared" ref="T131:T194" si="86">GetRTD(A131,B131,"TOTALBUYQTY")</f>
        <v>0</v>
      </c>
      <c r="U131" s="12">
        <f t="shared" ref="U131:U194" si="87">GetRTD(A131,B131,"TOTALSELLQTY")</f>
        <v>0</v>
      </c>
      <c r="V131" s="11">
        <f t="shared" ref="V131:V194" si="88">GetRTD(A131,B131,"OPEN")</f>
        <v>0</v>
      </c>
      <c r="W131" s="11">
        <f t="shared" ref="W131:W194" si="89">GetRTD(A131,B131,"HIGH")</f>
        <v>0</v>
      </c>
      <c r="X131" s="11">
        <f t="shared" ref="X131:X194" si="90">GetRTD(A131,B131,"LOW")</f>
        <v>0</v>
      </c>
      <c r="Y131" s="11">
        <f t="shared" ref="Y131:Y194" si="91">GetRTD(A131,B131,"CLOSE")</f>
        <v>0</v>
      </c>
      <c r="Z131" s="12">
        <f t="shared" ref="Z131:Z194" si="92">GetRTD(A131,B131,"OI")</f>
        <v>0</v>
      </c>
      <c r="AA131" s="11">
        <f t="shared" ref="AA131:AA194" si="93">GetRTD(A131,B131,"LOWERCKT")</f>
        <v>0</v>
      </c>
      <c r="AB131" s="11">
        <f t="shared" ref="AB131:AB194" si="94">GetRTD(A131,B131,"UPPERCKT")</f>
        <v>0</v>
      </c>
      <c r="AC131" s="11">
        <f t="shared" ref="AC131:AC194" si="95">GetRTD(A131,B131,"YEARLYHIGH")</f>
        <v>0</v>
      </c>
      <c r="AD131" s="11">
        <f t="shared" ref="AD131:AD194" si="96">GetRTD(A131,B131,"YEARLYLOW")</f>
        <v>0</v>
      </c>
      <c r="AE131" s="13">
        <f t="shared" ref="AE131:AE194" si="97">GetRTD(A131,B131,"LUT")</f>
        <v>0</v>
      </c>
      <c r="AF131" s="13">
        <f t="shared" ref="AF131:AF194" si="98">GetRTD(A131,B131,"LTT")</f>
        <v>0</v>
      </c>
      <c r="AG131" s="11">
        <f t="shared" ref="AG131:AG194" si="99">GetRTD(A131,B131,"SPOT")</f>
        <v>0</v>
      </c>
      <c r="AH131" s="14" t="str">
        <f t="shared" si="68"/>
        <v>InvalidSymbolDetails</v>
      </c>
      <c r="AI131" s="12">
        <f t="shared" ref="AI131:AI194" si="100">GetValueColor(B131,D131,"Ltp",AF131)</f>
        <v>0</v>
      </c>
    </row>
    <row r="132" spans="1:35" x14ac:dyDescent="0.25">
      <c r="A132" s="9"/>
      <c r="B132" s="9"/>
      <c r="C132" s="10" t="str">
        <f t="shared" si="69"/>
        <v/>
      </c>
      <c r="D132" s="11">
        <f t="shared" si="70"/>
        <v>0</v>
      </c>
      <c r="E132" s="11">
        <f t="shared" si="71"/>
        <v>0</v>
      </c>
      <c r="F132" s="11">
        <f t="shared" si="72"/>
        <v>0</v>
      </c>
      <c r="G132" s="12">
        <f t="shared" si="73"/>
        <v>0</v>
      </c>
      <c r="H132" s="11">
        <f t="shared" si="74"/>
        <v>0</v>
      </c>
      <c r="I132" s="11">
        <f t="shared" si="75"/>
        <v>0</v>
      </c>
      <c r="J132" s="12">
        <f t="shared" si="76"/>
        <v>0</v>
      </c>
      <c r="K132" s="11">
        <f t="shared" si="77"/>
        <v>0</v>
      </c>
      <c r="L132" s="12">
        <f t="shared" si="78"/>
        <v>0</v>
      </c>
      <c r="M132" s="12">
        <f t="shared" si="79"/>
        <v>0</v>
      </c>
      <c r="N132" s="11">
        <f t="shared" si="80"/>
        <v>0</v>
      </c>
      <c r="O132" s="12">
        <f t="shared" si="81"/>
        <v>0</v>
      </c>
      <c r="P132" s="11">
        <f t="shared" si="82"/>
        <v>0</v>
      </c>
      <c r="Q132" s="12">
        <f t="shared" si="83"/>
        <v>0</v>
      </c>
      <c r="R132" s="11">
        <f t="shared" si="84"/>
        <v>0</v>
      </c>
      <c r="S132" s="12">
        <f t="shared" si="85"/>
        <v>0</v>
      </c>
      <c r="T132" s="12">
        <f t="shared" si="86"/>
        <v>0</v>
      </c>
      <c r="U132" s="12">
        <f t="shared" si="87"/>
        <v>0</v>
      </c>
      <c r="V132" s="11">
        <f t="shared" si="88"/>
        <v>0</v>
      </c>
      <c r="W132" s="11">
        <f t="shared" si="89"/>
        <v>0</v>
      </c>
      <c r="X132" s="11">
        <f t="shared" si="90"/>
        <v>0</v>
      </c>
      <c r="Y132" s="11">
        <f t="shared" si="91"/>
        <v>0</v>
      </c>
      <c r="Z132" s="12">
        <f t="shared" si="92"/>
        <v>0</v>
      </c>
      <c r="AA132" s="11">
        <f t="shared" si="93"/>
        <v>0</v>
      </c>
      <c r="AB132" s="11">
        <f t="shared" si="94"/>
        <v>0</v>
      </c>
      <c r="AC132" s="11">
        <f t="shared" si="95"/>
        <v>0</v>
      </c>
      <c r="AD132" s="11">
        <f t="shared" si="96"/>
        <v>0</v>
      </c>
      <c r="AE132" s="13">
        <f t="shared" si="97"/>
        <v>0</v>
      </c>
      <c r="AF132" s="13">
        <f t="shared" si="98"/>
        <v>0</v>
      </c>
      <c r="AG132" s="11">
        <f t="shared" si="99"/>
        <v>0</v>
      </c>
      <c r="AH132" s="14" t="str">
        <f t="shared" si="68"/>
        <v>InvalidSymbolDetails</v>
      </c>
      <c r="AI132" s="12">
        <f t="shared" si="100"/>
        <v>0</v>
      </c>
    </row>
    <row r="133" spans="1:35" x14ac:dyDescent="0.25">
      <c r="A133" s="9"/>
      <c r="B133" s="9"/>
      <c r="C133" s="10" t="str">
        <f t="shared" si="69"/>
        <v/>
      </c>
      <c r="D133" s="11">
        <f t="shared" si="70"/>
        <v>0</v>
      </c>
      <c r="E133" s="11">
        <f t="shared" si="71"/>
        <v>0</v>
      </c>
      <c r="F133" s="11">
        <f t="shared" si="72"/>
        <v>0</v>
      </c>
      <c r="G133" s="12">
        <f t="shared" si="73"/>
        <v>0</v>
      </c>
      <c r="H133" s="11">
        <f t="shared" si="74"/>
        <v>0</v>
      </c>
      <c r="I133" s="11">
        <f t="shared" si="75"/>
        <v>0</v>
      </c>
      <c r="J133" s="12">
        <f t="shared" si="76"/>
        <v>0</v>
      </c>
      <c r="K133" s="11">
        <f t="shared" si="77"/>
        <v>0</v>
      </c>
      <c r="L133" s="12">
        <f t="shared" si="78"/>
        <v>0</v>
      </c>
      <c r="M133" s="12">
        <f t="shared" si="79"/>
        <v>0</v>
      </c>
      <c r="N133" s="11">
        <f t="shared" si="80"/>
        <v>0</v>
      </c>
      <c r="O133" s="12">
        <f t="shared" si="81"/>
        <v>0</v>
      </c>
      <c r="P133" s="11">
        <f t="shared" si="82"/>
        <v>0</v>
      </c>
      <c r="Q133" s="12">
        <f t="shared" si="83"/>
        <v>0</v>
      </c>
      <c r="R133" s="11">
        <f t="shared" si="84"/>
        <v>0</v>
      </c>
      <c r="S133" s="12">
        <f t="shared" si="85"/>
        <v>0</v>
      </c>
      <c r="T133" s="12">
        <f t="shared" si="86"/>
        <v>0</v>
      </c>
      <c r="U133" s="12">
        <f t="shared" si="87"/>
        <v>0</v>
      </c>
      <c r="V133" s="11">
        <f t="shared" si="88"/>
        <v>0</v>
      </c>
      <c r="W133" s="11">
        <f t="shared" si="89"/>
        <v>0</v>
      </c>
      <c r="X133" s="11">
        <f t="shared" si="90"/>
        <v>0</v>
      </c>
      <c r="Y133" s="11">
        <f t="shared" si="91"/>
        <v>0</v>
      </c>
      <c r="Z133" s="12">
        <f t="shared" si="92"/>
        <v>0</v>
      </c>
      <c r="AA133" s="11">
        <f t="shared" si="93"/>
        <v>0</v>
      </c>
      <c r="AB133" s="11">
        <f t="shared" si="94"/>
        <v>0</v>
      </c>
      <c r="AC133" s="11">
        <f t="shared" si="95"/>
        <v>0</v>
      </c>
      <c r="AD133" s="11">
        <f t="shared" si="96"/>
        <v>0</v>
      </c>
      <c r="AE133" s="13">
        <f t="shared" si="97"/>
        <v>0</v>
      </c>
      <c r="AF133" s="13">
        <f t="shared" si="98"/>
        <v>0</v>
      </c>
      <c r="AG133" s="11">
        <f t="shared" si="99"/>
        <v>0</v>
      </c>
      <c r="AH133" s="14" t="str">
        <f t="shared" si="68"/>
        <v>InvalidSymbolDetails</v>
      </c>
      <c r="AI133" s="12">
        <f t="shared" si="100"/>
        <v>0</v>
      </c>
    </row>
    <row r="134" spans="1:35" x14ac:dyDescent="0.25">
      <c r="A134" s="9"/>
      <c r="B134" s="9"/>
      <c r="C134" s="10" t="str">
        <f t="shared" si="69"/>
        <v/>
      </c>
      <c r="D134" s="11">
        <f t="shared" si="70"/>
        <v>0</v>
      </c>
      <c r="E134" s="11">
        <f t="shared" si="71"/>
        <v>0</v>
      </c>
      <c r="F134" s="11">
        <f t="shared" si="72"/>
        <v>0</v>
      </c>
      <c r="G134" s="12">
        <f t="shared" si="73"/>
        <v>0</v>
      </c>
      <c r="H134" s="11">
        <f t="shared" si="74"/>
        <v>0</v>
      </c>
      <c r="I134" s="11">
        <f t="shared" si="75"/>
        <v>0</v>
      </c>
      <c r="J134" s="12">
        <f t="shared" si="76"/>
        <v>0</v>
      </c>
      <c r="K134" s="11">
        <f t="shared" si="77"/>
        <v>0</v>
      </c>
      <c r="L134" s="12">
        <f t="shared" si="78"/>
        <v>0</v>
      </c>
      <c r="M134" s="12">
        <f t="shared" si="79"/>
        <v>0</v>
      </c>
      <c r="N134" s="11">
        <f t="shared" si="80"/>
        <v>0</v>
      </c>
      <c r="O134" s="12">
        <f t="shared" si="81"/>
        <v>0</v>
      </c>
      <c r="P134" s="11">
        <f t="shared" si="82"/>
        <v>0</v>
      </c>
      <c r="Q134" s="12">
        <f t="shared" si="83"/>
        <v>0</v>
      </c>
      <c r="R134" s="11">
        <f t="shared" si="84"/>
        <v>0</v>
      </c>
      <c r="S134" s="12">
        <f t="shared" si="85"/>
        <v>0</v>
      </c>
      <c r="T134" s="12">
        <f t="shared" si="86"/>
        <v>0</v>
      </c>
      <c r="U134" s="12">
        <f t="shared" si="87"/>
        <v>0</v>
      </c>
      <c r="V134" s="11">
        <f t="shared" si="88"/>
        <v>0</v>
      </c>
      <c r="W134" s="11">
        <f t="shared" si="89"/>
        <v>0</v>
      </c>
      <c r="X134" s="11">
        <f t="shared" si="90"/>
        <v>0</v>
      </c>
      <c r="Y134" s="11">
        <f t="shared" si="91"/>
        <v>0</v>
      </c>
      <c r="Z134" s="12">
        <f t="shared" si="92"/>
        <v>0</v>
      </c>
      <c r="AA134" s="11">
        <f t="shared" si="93"/>
        <v>0</v>
      </c>
      <c r="AB134" s="11">
        <f t="shared" si="94"/>
        <v>0</v>
      </c>
      <c r="AC134" s="11">
        <f t="shared" si="95"/>
        <v>0</v>
      </c>
      <c r="AD134" s="11">
        <f t="shared" si="96"/>
        <v>0</v>
      </c>
      <c r="AE134" s="13">
        <f t="shared" si="97"/>
        <v>0</v>
      </c>
      <c r="AF134" s="13">
        <f t="shared" si="98"/>
        <v>0</v>
      </c>
      <c r="AG134" s="11">
        <f t="shared" si="99"/>
        <v>0</v>
      </c>
      <c r="AH134" s="14" t="str">
        <f t="shared" si="68"/>
        <v>InvalidSymbolDetails</v>
      </c>
      <c r="AI134" s="12">
        <f t="shared" si="100"/>
        <v>0</v>
      </c>
    </row>
    <row r="135" spans="1:35" x14ac:dyDescent="0.25">
      <c r="A135" s="9"/>
      <c r="B135" s="9"/>
      <c r="C135" s="10" t="str">
        <f t="shared" si="69"/>
        <v/>
      </c>
      <c r="D135" s="11">
        <f t="shared" si="70"/>
        <v>0</v>
      </c>
      <c r="E135" s="11">
        <f t="shared" si="71"/>
        <v>0</v>
      </c>
      <c r="F135" s="11">
        <f t="shared" si="72"/>
        <v>0</v>
      </c>
      <c r="G135" s="12">
        <f t="shared" si="73"/>
        <v>0</v>
      </c>
      <c r="H135" s="11">
        <f t="shared" si="74"/>
        <v>0</v>
      </c>
      <c r="I135" s="11">
        <f t="shared" si="75"/>
        <v>0</v>
      </c>
      <c r="J135" s="12">
        <f t="shared" si="76"/>
        <v>0</v>
      </c>
      <c r="K135" s="11">
        <f t="shared" si="77"/>
        <v>0</v>
      </c>
      <c r="L135" s="12">
        <f t="shared" si="78"/>
        <v>0</v>
      </c>
      <c r="M135" s="12">
        <f t="shared" si="79"/>
        <v>0</v>
      </c>
      <c r="N135" s="11">
        <f t="shared" si="80"/>
        <v>0</v>
      </c>
      <c r="O135" s="12">
        <f t="shared" si="81"/>
        <v>0</v>
      </c>
      <c r="P135" s="11">
        <f t="shared" si="82"/>
        <v>0</v>
      </c>
      <c r="Q135" s="12">
        <f t="shared" si="83"/>
        <v>0</v>
      </c>
      <c r="R135" s="11">
        <f t="shared" si="84"/>
        <v>0</v>
      </c>
      <c r="S135" s="12">
        <f t="shared" si="85"/>
        <v>0</v>
      </c>
      <c r="T135" s="12">
        <f t="shared" si="86"/>
        <v>0</v>
      </c>
      <c r="U135" s="12">
        <f t="shared" si="87"/>
        <v>0</v>
      </c>
      <c r="V135" s="11">
        <f t="shared" si="88"/>
        <v>0</v>
      </c>
      <c r="W135" s="11">
        <f t="shared" si="89"/>
        <v>0</v>
      </c>
      <c r="X135" s="11">
        <f t="shared" si="90"/>
        <v>0</v>
      </c>
      <c r="Y135" s="11">
        <f t="shared" si="91"/>
        <v>0</v>
      </c>
      <c r="Z135" s="12">
        <f t="shared" si="92"/>
        <v>0</v>
      </c>
      <c r="AA135" s="11">
        <f t="shared" si="93"/>
        <v>0</v>
      </c>
      <c r="AB135" s="11">
        <f t="shared" si="94"/>
        <v>0</v>
      </c>
      <c r="AC135" s="11">
        <f t="shared" si="95"/>
        <v>0</v>
      </c>
      <c r="AD135" s="11">
        <f t="shared" si="96"/>
        <v>0</v>
      </c>
      <c r="AE135" s="13">
        <f t="shared" si="97"/>
        <v>0</v>
      </c>
      <c r="AF135" s="13">
        <f t="shared" si="98"/>
        <v>0</v>
      </c>
      <c r="AG135" s="11">
        <f t="shared" si="99"/>
        <v>0</v>
      </c>
      <c r="AH135" s="14" t="str">
        <f t="shared" si="68"/>
        <v>InvalidSymbolDetails</v>
      </c>
      <c r="AI135" s="12">
        <f t="shared" si="100"/>
        <v>0</v>
      </c>
    </row>
    <row r="136" spans="1:35" x14ac:dyDescent="0.25">
      <c r="A136" s="9"/>
      <c r="B136" s="9"/>
      <c r="C136" s="10" t="str">
        <f t="shared" si="69"/>
        <v/>
      </c>
      <c r="D136" s="11">
        <f t="shared" si="70"/>
        <v>0</v>
      </c>
      <c r="E136" s="11">
        <f t="shared" si="71"/>
        <v>0</v>
      </c>
      <c r="F136" s="11">
        <f t="shared" si="72"/>
        <v>0</v>
      </c>
      <c r="G136" s="12">
        <f t="shared" si="73"/>
        <v>0</v>
      </c>
      <c r="H136" s="11">
        <f t="shared" si="74"/>
        <v>0</v>
      </c>
      <c r="I136" s="11">
        <f t="shared" si="75"/>
        <v>0</v>
      </c>
      <c r="J136" s="12">
        <f t="shared" si="76"/>
        <v>0</v>
      </c>
      <c r="K136" s="11">
        <f t="shared" si="77"/>
        <v>0</v>
      </c>
      <c r="L136" s="12">
        <f t="shared" si="78"/>
        <v>0</v>
      </c>
      <c r="M136" s="12">
        <f t="shared" si="79"/>
        <v>0</v>
      </c>
      <c r="N136" s="11">
        <f t="shared" si="80"/>
        <v>0</v>
      </c>
      <c r="O136" s="12">
        <f t="shared" si="81"/>
        <v>0</v>
      </c>
      <c r="P136" s="11">
        <f t="shared" si="82"/>
        <v>0</v>
      </c>
      <c r="Q136" s="12">
        <f t="shared" si="83"/>
        <v>0</v>
      </c>
      <c r="R136" s="11">
        <f t="shared" si="84"/>
        <v>0</v>
      </c>
      <c r="S136" s="12">
        <f t="shared" si="85"/>
        <v>0</v>
      </c>
      <c r="T136" s="12">
        <f t="shared" si="86"/>
        <v>0</v>
      </c>
      <c r="U136" s="12">
        <f t="shared" si="87"/>
        <v>0</v>
      </c>
      <c r="V136" s="11">
        <f t="shared" si="88"/>
        <v>0</v>
      </c>
      <c r="W136" s="11">
        <f t="shared" si="89"/>
        <v>0</v>
      </c>
      <c r="X136" s="11">
        <f t="shared" si="90"/>
        <v>0</v>
      </c>
      <c r="Y136" s="11">
        <f t="shared" si="91"/>
        <v>0</v>
      </c>
      <c r="Z136" s="12">
        <f t="shared" si="92"/>
        <v>0</v>
      </c>
      <c r="AA136" s="11">
        <f t="shared" si="93"/>
        <v>0</v>
      </c>
      <c r="AB136" s="11">
        <f t="shared" si="94"/>
        <v>0</v>
      </c>
      <c r="AC136" s="11">
        <f t="shared" si="95"/>
        <v>0</v>
      </c>
      <c r="AD136" s="11">
        <f t="shared" si="96"/>
        <v>0</v>
      </c>
      <c r="AE136" s="13">
        <f t="shared" si="97"/>
        <v>0</v>
      </c>
      <c r="AF136" s="13">
        <f t="shared" si="98"/>
        <v>0</v>
      </c>
      <c r="AG136" s="11">
        <f t="shared" si="99"/>
        <v>0</v>
      </c>
      <c r="AH136" s="14" t="str">
        <f t="shared" si="68"/>
        <v>InvalidSymbolDetails</v>
      </c>
      <c r="AI136" s="12">
        <f t="shared" si="100"/>
        <v>0</v>
      </c>
    </row>
    <row r="137" spans="1:35" x14ac:dyDescent="0.25">
      <c r="A137" s="9"/>
      <c r="B137" s="9"/>
      <c r="C137" s="10" t="str">
        <f t="shared" si="69"/>
        <v/>
      </c>
      <c r="D137" s="11">
        <f t="shared" si="70"/>
        <v>0</v>
      </c>
      <c r="E137" s="11">
        <f t="shared" si="71"/>
        <v>0</v>
      </c>
      <c r="F137" s="11">
        <f t="shared" si="72"/>
        <v>0</v>
      </c>
      <c r="G137" s="12">
        <f t="shared" si="73"/>
        <v>0</v>
      </c>
      <c r="H137" s="11">
        <f t="shared" si="74"/>
        <v>0</v>
      </c>
      <c r="I137" s="11">
        <f t="shared" si="75"/>
        <v>0</v>
      </c>
      <c r="J137" s="12">
        <f t="shared" si="76"/>
        <v>0</v>
      </c>
      <c r="K137" s="11">
        <f t="shared" si="77"/>
        <v>0</v>
      </c>
      <c r="L137" s="12">
        <f t="shared" si="78"/>
        <v>0</v>
      </c>
      <c r="M137" s="12">
        <f t="shared" si="79"/>
        <v>0</v>
      </c>
      <c r="N137" s="11">
        <f t="shared" si="80"/>
        <v>0</v>
      </c>
      <c r="O137" s="12">
        <f t="shared" si="81"/>
        <v>0</v>
      </c>
      <c r="P137" s="11">
        <f t="shared" si="82"/>
        <v>0</v>
      </c>
      <c r="Q137" s="12">
        <f t="shared" si="83"/>
        <v>0</v>
      </c>
      <c r="R137" s="11">
        <f t="shared" si="84"/>
        <v>0</v>
      </c>
      <c r="S137" s="12">
        <f t="shared" si="85"/>
        <v>0</v>
      </c>
      <c r="T137" s="12">
        <f t="shared" si="86"/>
        <v>0</v>
      </c>
      <c r="U137" s="12">
        <f t="shared" si="87"/>
        <v>0</v>
      </c>
      <c r="V137" s="11">
        <f t="shared" si="88"/>
        <v>0</v>
      </c>
      <c r="W137" s="11">
        <f t="shared" si="89"/>
        <v>0</v>
      </c>
      <c r="X137" s="11">
        <f t="shared" si="90"/>
        <v>0</v>
      </c>
      <c r="Y137" s="11">
        <f t="shared" si="91"/>
        <v>0</v>
      </c>
      <c r="Z137" s="12">
        <f t="shared" si="92"/>
        <v>0</v>
      </c>
      <c r="AA137" s="11">
        <f t="shared" si="93"/>
        <v>0</v>
      </c>
      <c r="AB137" s="11">
        <f t="shared" si="94"/>
        <v>0</v>
      </c>
      <c r="AC137" s="11">
        <f t="shared" si="95"/>
        <v>0</v>
      </c>
      <c r="AD137" s="11">
        <f t="shared" si="96"/>
        <v>0</v>
      </c>
      <c r="AE137" s="13">
        <f t="shared" si="97"/>
        <v>0</v>
      </c>
      <c r="AF137" s="13">
        <f t="shared" si="98"/>
        <v>0</v>
      </c>
      <c r="AG137" s="11">
        <f t="shared" si="99"/>
        <v>0</v>
      </c>
      <c r="AH137" s="14" t="str">
        <f t="shared" si="68"/>
        <v>InvalidSymbolDetails</v>
      </c>
      <c r="AI137" s="12">
        <f t="shared" si="100"/>
        <v>0</v>
      </c>
    </row>
    <row r="138" spans="1:35" x14ac:dyDescent="0.25">
      <c r="A138" s="9"/>
      <c r="B138" s="9"/>
      <c r="C138" s="10" t="str">
        <f t="shared" si="69"/>
        <v/>
      </c>
      <c r="D138" s="11">
        <f t="shared" si="70"/>
        <v>0</v>
      </c>
      <c r="E138" s="11">
        <f t="shared" si="71"/>
        <v>0</v>
      </c>
      <c r="F138" s="11">
        <f t="shared" si="72"/>
        <v>0</v>
      </c>
      <c r="G138" s="12">
        <f t="shared" si="73"/>
        <v>0</v>
      </c>
      <c r="H138" s="11">
        <f t="shared" si="74"/>
        <v>0</v>
      </c>
      <c r="I138" s="11">
        <f t="shared" si="75"/>
        <v>0</v>
      </c>
      <c r="J138" s="12">
        <f t="shared" si="76"/>
        <v>0</v>
      </c>
      <c r="K138" s="11">
        <f t="shared" si="77"/>
        <v>0</v>
      </c>
      <c r="L138" s="12">
        <f t="shared" si="78"/>
        <v>0</v>
      </c>
      <c r="M138" s="12">
        <f t="shared" si="79"/>
        <v>0</v>
      </c>
      <c r="N138" s="11">
        <f t="shared" si="80"/>
        <v>0</v>
      </c>
      <c r="O138" s="12">
        <f t="shared" si="81"/>
        <v>0</v>
      </c>
      <c r="P138" s="11">
        <f t="shared" si="82"/>
        <v>0</v>
      </c>
      <c r="Q138" s="12">
        <f t="shared" si="83"/>
        <v>0</v>
      </c>
      <c r="R138" s="11">
        <f t="shared" si="84"/>
        <v>0</v>
      </c>
      <c r="S138" s="12">
        <f t="shared" si="85"/>
        <v>0</v>
      </c>
      <c r="T138" s="12">
        <f t="shared" si="86"/>
        <v>0</v>
      </c>
      <c r="U138" s="12">
        <f t="shared" si="87"/>
        <v>0</v>
      </c>
      <c r="V138" s="11">
        <f t="shared" si="88"/>
        <v>0</v>
      </c>
      <c r="W138" s="11">
        <f t="shared" si="89"/>
        <v>0</v>
      </c>
      <c r="X138" s="11">
        <f t="shared" si="90"/>
        <v>0</v>
      </c>
      <c r="Y138" s="11">
        <f t="shared" si="91"/>
        <v>0</v>
      </c>
      <c r="Z138" s="12">
        <f t="shared" si="92"/>
        <v>0</v>
      </c>
      <c r="AA138" s="11">
        <f t="shared" si="93"/>
        <v>0</v>
      </c>
      <c r="AB138" s="11">
        <f t="shared" si="94"/>
        <v>0</v>
      </c>
      <c r="AC138" s="11">
        <f t="shared" si="95"/>
        <v>0</v>
      </c>
      <c r="AD138" s="11">
        <f t="shared" si="96"/>
        <v>0</v>
      </c>
      <c r="AE138" s="13">
        <f t="shared" si="97"/>
        <v>0</v>
      </c>
      <c r="AF138" s="13">
        <f t="shared" si="98"/>
        <v>0</v>
      </c>
      <c r="AG138" s="11">
        <f t="shared" si="99"/>
        <v>0</v>
      </c>
      <c r="AH138" s="14" t="str">
        <f t="shared" si="68"/>
        <v>InvalidSymbolDetails</v>
      </c>
      <c r="AI138" s="12">
        <f t="shared" si="100"/>
        <v>0</v>
      </c>
    </row>
    <row r="139" spans="1:35" x14ac:dyDescent="0.25">
      <c r="A139" s="9"/>
      <c r="B139" s="9"/>
      <c r="C139" s="10" t="str">
        <f t="shared" si="69"/>
        <v/>
      </c>
      <c r="D139" s="11">
        <f t="shared" si="70"/>
        <v>0</v>
      </c>
      <c r="E139" s="11">
        <f t="shared" si="71"/>
        <v>0</v>
      </c>
      <c r="F139" s="11">
        <f t="shared" si="72"/>
        <v>0</v>
      </c>
      <c r="G139" s="12">
        <f t="shared" si="73"/>
        <v>0</v>
      </c>
      <c r="H139" s="11">
        <f t="shared" si="74"/>
        <v>0</v>
      </c>
      <c r="I139" s="11">
        <f t="shared" si="75"/>
        <v>0</v>
      </c>
      <c r="J139" s="12">
        <f t="shared" si="76"/>
        <v>0</v>
      </c>
      <c r="K139" s="11">
        <f t="shared" si="77"/>
        <v>0</v>
      </c>
      <c r="L139" s="12">
        <f t="shared" si="78"/>
        <v>0</v>
      </c>
      <c r="M139" s="12">
        <f t="shared" si="79"/>
        <v>0</v>
      </c>
      <c r="N139" s="11">
        <f t="shared" si="80"/>
        <v>0</v>
      </c>
      <c r="O139" s="12">
        <f t="shared" si="81"/>
        <v>0</v>
      </c>
      <c r="P139" s="11">
        <f t="shared" si="82"/>
        <v>0</v>
      </c>
      <c r="Q139" s="12">
        <f t="shared" si="83"/>
        <v>0</v>
      </c>
      <c r="R139" s="11">
        <f t="shared" si="84"/>
        <v>0</v>
      </c>
      <c r="S139" s="12">
        <f t="shared" si="85"/>
        <v>0</v>
      </c>
      <c r="T139" s="12">
        <f t="shared" si="86"/>
        <v>0</v>
      </c>
      <c r="U139" s="12">
        <f t="shared" si="87"/>
        <v>0</v>
      </c>
      <c r="V139" s="11">
        <f t="shared" si="88"/>
        <v>0</v>
      </c>
      <c r="W139" s="11">
        <f t="shared" si="89"/>
        <v>0</v>
      </c>
      <c r="X139" s="11">
        <f t="shared" si="90"/>
        <v>0</v>
      </c>
      <c r="Y139" s="11">
        <f t="shared" si="91"/>
        <v>0</v>
      </c>
      <c r="Z139" s="12">
        <f t="shared" si="92"/>
        <v>0</v>
      </c>
      <c r="AA139" s="11">
        <f t="shared" si="93"/>
        <v>0</v>
      </c>
      <c r="AB139" s="11">
        <f t="shared" si="94"/>
        <v>0</v>
      </c>
      <c r="AC139" s="11">
        <f t="shared" si="95"/>
        <v>0</v>
      </c>
      <c r="AD139" s="11">
        <f t="shared" si="96"/>
        <v>0</v>
      </c>
      <c r="AE139" s="13">
        <f t="shared" si="97"/>
        <v>0</v>
      </c>
      <c r="AF139" s="13">
        <f t="shared" si="98"/>
        <v>0</v>
      </c>
      <c r="AG139" s="11">
        <f t="shared" si="99"/>
        <v>0</v>
      </c>
      <c r="AH139" s="14" t="str">
        <f t="shared" si="68"/>
        <v>InvalidSymbolDetails</v>
      </c>
      <c r="AI139" s="12">
        <f t="shared" si="100"/>
        <v>0</v>
      </c>
    </row>
    <row r="140" spans="1:35" x14ac:dyDescent="0.25">
      <c r="A140" s="9"/>
      <c r="B140" s="9"/>
      <c r="C140" s="10" t="str">
        <f t="shared" si="69"/>
        <v/>
      </c>
      <c r="D140" s="11">
        <f t="shared" si="70"/>
        <v>0</v>
      </c>
      <c r="E140" s="11">
        <f t="shared" si="71"/>
        <v>0</v>
      </c>
      <c r="F140" s="11">
        <f t="shared" si="72"/>
        <v>0</v>
      </c>
      <c r="G140" s="12">
        <f t="shared" si="73"/>
        <v>0</v>
      </c>
      <c r="H140" s="11">
        <f t="shared" si="74"/>
        <v>0</v>
      </c>
      <c r="I140" s="11">
        <f t="shared" si="75"/>
        <v>0</v>
      </c>
      <c r="J140" s="12">
        <f t="shared" si="76"/>
        <v>0</v>
      </c>
      <c r="K140" s="11">
        <f t="shared" si="77"/>
        <v>0</v>
      </c>
      <c r="L140" s="12">
        <f t="shared" si="78"/>
        <v>0</v>
      </c>
      <c r="M140" s="12">
        <f t="shared" si="79"/>
        <v>0</v>
      </c>
      <c r="N140" s="11">
        <f t="shared" si="80"/>
        <v>0</v>
      </c>
      <c r="O140" s="12">
        <f t="shared" si="81"/>
        <v>0</v>
      </c>
      <c r="P140" s="11">
        <f t="shared" si="82"/>
        <v>0</v>
      </c>
      <c r="Q140" s="12">
        <f t="shared" si="83"/>
        <v>0</v>
      </c>
      <c r="R140" s="11">
        <f t="shared" si="84"/>
        <v>0</v>
      </c>
      <c r="S140" s="12">
        <f t="shared" si="85"/>
        <v>0</v>
      </c>
      <c r="T140" s="12">
        <f t="shared" si="86"/>
        <v>0</v>
      </c>
      <c r="U140" s="12">
        <f t="shared" si="87"/>
        <v>0</v>
      </c>
      <c r="V140" s="11">
        <f t="shared" si="88"/>
        <v>0</v>
      </c>
      <c r="W140" s="11">
        <f t="shared" si="89"/>
        <v>0</v>
      </c>
      <c r="X140" s="11">
        <f t="shared" si="90"/>
        <v>0</v>
      </c>
      <c r="Y140" s="11">
        <f t="shared" si="91"/>
        <v>0</v>
      </c>
      <c r="Z140" s="12">
        <f t="shared" si="92"/>
        <v>0</v>
      </c>
      <c r="AA140" s="11">
        <f t="shared" si="93"/>
        <v>0</v>
      </c>
      <c r="AB140" s="11">
        <f t="shared" si="94"/>
        <v>0</v>
      </c>
      <c r="AC140" s="11">
        <f t="shared" si="95"/>
        <v>0</v>
      </c>
      <c r="AD140" s="11">
        <f t="shared" si="96"/>
        <v>0</v>
      </c>
      <c r="AE140" s="13">
        <f t="shared" si="97"/>
        <v>0</v>
      </c>
      <c r="AF140" s="13">
        <f t="shared" si="98"/>
        <v>0</v>
      </c>
      <c r="AG140" s="11">
        <f t="shared" si="99"/>
        <v>0</v>
      </c>
      <c r="AH140" s="14" t="str">
        <f t="shared" si="68"/>
        <v>InvalidSymbolDetails</v>
      </c>
      <c r="AI140" s="12">
        <f t="shared" si="100"/>
        <v>0</v>
      </c>
    </row>
    <row r="141" spans="1:35" x14ac:dyDescent="0.25">
      <c r="A141" s="9"/>
      <c r="B141" s="9"/>
      <c r="C141" s="10" t="str">
        <f t="shared" si="69"/>
        <v/>
      </c>
      <c r="D141" s="11">
        <f t="shared" si="70"/>
        <v>0</v>
      </c>
      <c r="E141" s="11">
        <f t="shared" si="71"/>
        <v>0</v>
      </c>
      <c r="F141" s="11">
        <f t="shared" si="72"/>
        <v>0</v>
      </c>
      <c r="G141" s="12">
        <f t="shared" si="73"/>
        <v>0</v>
      </c>
      <c r="H141" s="11">
        <f t="shared" si="74"/>
        <v>0</v>
      </c>
      <c r="I141" s="11">
        <f t="shared" si="75"/>
        <v>0</v>
      </c>
      <c r="J141" s="12">
        <f t="shared" si="76"/>
        <v>0</v>
      </c>
      <c r="K141" s="11">
        <f t="shared" si="77"/>
        <v>0</v>
      </c>
      <c r="L141" s="12">
        <f t="shared" si="78"/>
        <v>0</v>
      </c>
      <c r="M141" s="12">
        <f t="shared" si="79"/>
        <v>0</v>
      </c>
      <c r="N141" s="11">
        <f t="shared" si="80"/>
        <v>0</v>
      </c>
      <c r="O141" s="12">
        <f t="shared" si="81"/>
        <v>0</v>
      </c>
      <c r="P141" s="11">
        <f t="shared" si="82"/>
        <v>0</v>
      </c>
      <c r="Q141" s="12">
        <f t="shared" si="83"/>
        <v>0</v>
      </c>
      <c r="R141" s="11">
        <f t="shared" si="84"/>
        <v>0</v>
      </c>
      <c r="S141" s="12">
        <f t="shared" si="85"/>
        <v>0</v>
      </c>
      <c r="T141" s="12">
        <f t="shared" si="86"/>
        <v>0</v>
      </c>
      <c r="U141" s="12">
        <f t="shared" si="87"/>
        <v>0</v>
      </c>
      <c r="V141" s="11">
        <f t="shared" si="88"/>
        <v>0</v>
      </c>
      <c r="W141" s="11">
        <f t="shared" si="89"/>
        <v>0</v>
      </c>
      <c r="X141" s="11">
        <f t="shared" si="90"/>
        <v>0</v>
      </c>
      <c r="Y141" s="11">
        <f t="shared" si="91"/>
        <v>0</v>
      </c>
      <c r="Z141" s="12">
        <f t="shared" si="92"/>
        <v>0</v>
      </c>
      <c r="AA141" s="11">
        <f t="shared" si="93"/>
        <v>0</v>
      </c>
      <c r="AB141" s="11">
        <f t="shared" si="94"/>
        <v>0</v>
      </c>
      <c r="AC141" s="11">
        <f t="shared" si="95"/>
        <v>0</v>
      </c>
      <c r="AD141" s="11">
        <f t="shared" si="96"/>
        <v>0</v>
      </c>
      <c r="AE141" s="13">
        <f t="shared" si="97"/>
        <v>0</v>
      </c>
      <c r="AF141" s="13">
        <f t="shared" si="98"/>
        <v>0</v>
      </c>
      <c r="AG141" s="11">
        <f t="shared" si="99"/>
        <v>0</v>
      </c>
      <c r="AH141" s="14" t="str">
        <f t="shared" si="68"/>
        <v>InvalidSymbolDetails</v>
      </c>
      <c r="AI141" s="12">
        <f t="shared" si="100"/>
        <v>0</v>
      </c>
    </row>
    <row r="142" spans="1:35" x14ac:dyDescent="0.25">
      <c r="A142" s="9"/>
      <c r="B142" s="9"/>
      <c r="C142" s="10" t="str">
        <f t="shared" si="69"/>
        <v/>
      </c>
      <c r="D142" s="11">
        <f t="shared" si="70"/>
        <v>0</v>
      </c>
      <c r="E142" s="11">
        <f t="shared" si="71"/>
        <v>0</v>
      </c>
      <c r="F142" s="11">
        <f t="shared" si="72"/>
        <v>0</v>
      </c>
      <c r="G142" s="12">
        <f t="shared" si="73"/>
        <v>0</v>
      </c>
      <c r="H142" s="11">
        <f t="shared" si="74"/>
        <v>0</v>
      </c>
      <c r="I142" s="11">
        <f t="shared" si="75"/>
        <v>0</v>
      </c>
      <c r="J142" s="12">
        <f t="shared" si="76"/>
        <v>0</v>
      </c>
      <c r="K142" s="11">
        <f t="shared" si="77"/>
        <v>0</v>
      </c>
      <c r="L142" s="12">
        <f t="shared" si="78"/>
        <v>0</v>
      </c>
      <c r="M142" s="12">
        <f t="shared" si="79"/>
        <v>0</v>
      </c>
      <c r="N142" s="11">
        <f t="shared" si="80"/>
        <v>0</v>
      </c>
      <c r="O142" s="12">
        <f t="shared" si="81"/>
        <v>0</v>
      </c>
      <c r="P142" s="11">
        <f t="shared" si="82"/>
        <v>0</v>
      </c>
      <c r="Q142" s="12">
        <f t="shared" si="83"/>
        <v>0</v>
      </c>
      <c r="R142" s="11">
        <f t="shared" si="84"/>
        <v>0</v>
      </c>
      <c r="S142" s="12">
        <f t="shared" si="85"/>
        <v>0</v>
      </c>
      <c r="T142" s="12">
        <f t="shared" si="86"/>
        <v>0</v>
      </c>
      <c r="U142" s="12">
        <f t="shared" si="87"/>
        <v>0</v>
      </c>
      <c r="V142" s="11">
        <f t="shared" si="88"/>
        <v>0</v>
      </c>
      <c r="W142" s="11">
        <f t="shared" si="89"/>
        <v>0</v>
      </c>
      <c r="X142" s="11">
        <f t="shared" si="90"/>
        <v>0</v>
      </c>
      <c r="Y142" s="11">
        <f t="shared" si="91"/>
        <v>0</v>
      </c>
      <c r="Z142" s="12">
        <f t="shared" si="92"/>
        <v>0</v>
      </c>
      <c r="AA142" s="11">
        <f t="shared" si="93"/>
        <v>0</v>
      </c>
      <c r="AB142" s="11">
        <f t="shared" si="94"/>
        <v>0</v>
      </c>
      <c r="AC142" s="11">
        <f t="shared" si="95"/>
        <v>0</v>
      </c>
      <c r="AD142" s="11">
        <f t="shared" si="96"/>
        <v>0</v>
      </c>
      <c r="AE142" s="13">
        <f t="shared" si="97"/>
        <v>0</v>
      </c>
      <c r="AF142" s="13">
        <f t="shared" si="98"/>
        <v>0</v>
      </c>
      <c r="AG142" s="11">
        <f t="shared" si="99"/>
        <v>0</v>
      </c>
      <c r="AH142" s="14" t="str">
        <f t="shared" si="68"/>
        <v>InvalidSymbolDetails</v>
      </c>
      <c r="AI142" s="12">
        <f t="shared" si="100"/>
        <v>0</v>
      </c>
    </row>
    <row r="143" spans="1:35" x14ac:dyDescent="0.25">
      <c r="A143" s="9"/>
      <c r="B143" s="9"/>
      <c r="C143" s="10" t="str">
        <f t="shared" si="69"/>
        <v/>
      </c>
      <c r="D143" s="11">
        <f t="shared" si="70"/>
        <v>0</v>
      </c>
      <c r="E143" s="11">
        <f t="shared" si="71"/>
        <v>0</v>
      </c>
      <c r="F143" s="11">
        <f t="shared" si="72"/>
        <v>0</v>
      </c>
      <c r="G143" s="12">
        <f t="shared" si="73"/>
        <v>0</v>
      </c>
      <c r="H143" s="11">
        <f t="shared" si="74"/>
        <v>0</v>
      </c>
      <c r="I143" s="11">
        <f t="shared" si="75"/>
        <v>0</v>
      </c>
      <c r="J143" s="12">
        <f t="shared" si="76"/>
        <v>0</v>
      </c>
      <c r="K143" s="11">
        <f t="shared" si="77"/>
        <v>0</v>
      </c>
      <c r="L143" s="12">
        <f t="shared" si="78"/>
        <v>0</v>
      </c>
      <c r="M143" s="12">
        <f t="shared" si="79"/>
        <v>0</v>
      </c>
      <c r="N143" s="11">
        <f t="shared" si="80"/>
        <v>0</v>
      </c>
      <c r="O143" s="12">
        <f t="shared" si="81"/>
        <v>0</v>
      </c>
      <c r="P143" s="11">
        <f t="shared" si="82"/>
        <v>0</v>
      </c>
      <c r="Q143" s="12">
        <f t="shared" si="83"/>
        <v>0</v>
      </c>
      <c r="R143" s="11">
        <f t="shared" si="84"/>
        <v>0</v>
      </c>
      <c r="S143" s="12">
        <f t="shared" si="85"/>
        <v>0</v>
      </c>
      <c r="T143" s="12">
        <f t="shared" si="86"/>
        <v>0</v>
      </c>
      <c r="U143" s="12">
        <f t="shared" si="87"/>
        <v>0</v>
      </c>
      <c r="V143" s="11">
        <f t="shared" si="88"/>
        <v>0</v>
      </c>
      <c r="W143" s="11">
        <f t="shared" si="89"/>
        <v>0</v>
      </c>
      <c r="X143" s="11">
        <f t="shared" si="90"/>
        <v>0</v>
      </c>
      <c r="Y143" s="11">
        <f t="shared" si="91"/>
        <v>0</v>
      </c>
      <c r="Z143" s="12">
        <f t="shared" si="92"/>
        <v>0</v>
      </c>
      <c r="AA143" s="11">
        <f t="shared" si="93"/>
        <v>0</v>
      </c>
      <c r="AB143" s="11">
        <f t="shared" si="94"/>
        <v>0</v>
      </c>
      <c r="AC143" s="11">
        <f t="shared" si="95"/>
        <v>0</v>
      </c>
      <c r="AD143" s="11">
        <f t="shared" si="96"/>
        <v>0</v>
      </c>
      <c r="AE143" s="13">
        <f t="shared" si="97"/>
        <v>0</v>
      </c>
      <c r="AF143" s="13">
        <f t="shared" si="98"/>
        <v>0</v>
      </c>
      <c r="AG143" s="11">
        <f t="shared" si="99"/>
        <v>0</v>
      </c>
      <c r="AH143" s="14" t="str">
        <f t="shared" si="68"/>
        <v>InvalidSymbolDetails</v>
      </c>
      <c r="AI143" s="12">
        <f t="shared" si="100"/>
        <v>0</v>
      </c>
    </row>
    <row r="144" spans="1:35" x14ac:dyDescent="0.25">
      <c r="A144" s="9"/>
      <c r="B144" s="9"/>
      <c r="C144" s="10" t="str">
        <f t="shared" si="69"/>
        <v/>
      </c>
      <c r="D144" s="11">
        <f t="shared" si="70"/>
        <v>0</v>
      </c>
      <c r="E144" s="11">
        <f t="shared" si="71"/>
        <v>0</v>
      </c>
      <c r="F144" s="11">
        <f t="shared" si="72"/>
        <v>0</v>
      </c>
      <c r="G144" s="12">
        <f t="shared" si="73"/>
        <v>0</v>
      </c>
      <c r="H144" s="11">
        <f t="shared" si="74"/>
        <v>0</v>
      </c>
      <c r="I144" s="11">
        <f t="shared" si="75"/>
        <v>0</v>
      </c>
      <c r="J144" s="12">
        <f t="shared" si="76"/>
        <v>0</v>
      </c>
      <c r="K144" s="11">
        <f t="shared" si="77"/>
        <v>0</v>
      </c>
      <c r="L144" s="12">
        <f t="shared" si="78"/>
        <v>0</v>
      </c>
      <c r="M144" s="12">
        <f t="shared" si="79"/>
        <v>0</v>
      </c>
      <c r="N144" s="11">
        <f t="shared" si="80"/>
        <v>0</v>
      </c>
      <c r="O144" s="12">
        <f t="shared" si="81"/>
        <v>0</v>
      </c>
      <c r="P144" s="11">
        <f t="shared" si="82"/>
        <v>0</v>
      </c>
      <c r="Q144" s="12">
        <f t="shared" si="83"/>
        <v>0</v>
      </c>
      <c r="R144" s="11">
        <f t="shared" si="84"/>
        <v>0</v>
      </c>
      <c r="S144" s="12">
        <f t="shared" si="85"/>
        <v>0</v>
      </c>
      <c r="T144" s="12">
        <f t="shared" si="86"/>
        <v>0</v>
      </c>
      <c r="U144" s="12">
        <f t="shared" si="87"/>
        <v>0</v>
      </c>
      <c r="V144" s="11">
        <f t="shared" si="88"/>
        <v>0</v>
      </c>
      <c r="W144" s="11">
        <f t="shared" si="89"/>
        <v>0</v>
      </c>
      <c r="X144" s="11">
        <f t="shared" si="90"/>
        <v>0</v>
      </c>
      <c r="Y144" s="11">
        <f t="shared" si="91"/>
        <v>0</v>
      </c>
      <c r="Z144" s="12">
        <f t="shared" si="92"/>
        <v>0</v>
      </c>
      <c r="AA144" s="11">
        <f t="shared" si="93"/>
        <v>0</v>
      </c>
      <c r="AB144" s="11">
        <f t="shared" si="94"/>
        <v>0</v>
      </c>
      <c r="AC144" s="11">
        <f t="shared" si="95"/>
        <v>0</v>
      </c>
      <c r="AD144" s="11">
        <f t="shared" si="96"/>
        <v>0</v>
      </c>
      <c r="AE144" s="13">
        <f t="shared" si="97"/>
        <v>0</v>
      </c>
      <c r="AF144" s="13">
        <f t="shared" si="98"/>
        <v>0</v>
      </c>
      <c r="AG144" s="11">
        <f t="shared" si="99"/>
        <v>0</v>
      </c>
      <c r="AH144" s="14" t="str">
        <f t="shared" si="68"/>
        <v>InvalidSymbolDetails</v>
      </c>
      <c r="AI144" s="12">
        <f t="shared" si="100"/>
        <v>0</v>
      </c>
    </row>
    <row r="145" spans="1:35" x14ac:dyDescent="0.25">
      <c r="A145" s="9"/>
      <c r="B145" s="9"/>
      <c r="C145" s="10" t="str">
        <f t="shared" si="69"/>
        <v/>
      </c>
      <c r="D145" s="11">
        <f t="shared" si="70"/>
        <v>0</v>
      </c>
      <c r="E145" s="11">
        <f t="shared" si="71"/>
        <v>0</v>
      </c>
      <c r="F145" s="11">
        <f t="shared" si="72"/>
        <v>0</v>
      </c>
      <c r="G145" s="12">
        <f t="shared" si="73"/>
        <v>0</v>
      </c>
      <c r="H145" s="11">
        <f t="shared" si="74"/>
        <v>0</v>
      </c>
      <c r="I145" s="11">
        <f t="shared" si="75"/>
        <v>0</v>
      </c>
      <c r="J145" s="12">
        <f t="shared" si="76"/>
        <v>0</v>
      </c>
      <c r="K145" s="11">
        <f t="shared" si="77"/>
        <v>0</v>
      </c>
      <c r="L145" s="12">
        <f t="shared" si="78"/>
        <v>0</v>
      </c>
      <c r="M145" s="12">
        <f t="shared" si="79"/>
        <v>0</v>
      </c>
      <c r="N145" s="11">
        <f t="shared" si="80"/>
        <v>0</v>
      </c>
      <c r="O145" s="12">
        <f t="shared" si="81"/>
        <v>0</v>
      </c>
      <c r="P145" s="11">
        <f t="shared" si="82"/>
        <v>0</v>
      </c>
      <c r="Q145" s="12">
        <f t="shared" si="83"/>
        <v>0</v>
      </c>
      <c r="R145" s="11">
        <f t="shared" si="84"/>
        <v>0</v>
      </c>
      <c r="S145" s="12">
        <f t="shared" si="85"/>
        <v>0</v>
      </c>
      <c r="T145" s="12">
        <f t="shared" si="86"/>
        <v>0</v>
      </c>
      <c r="U145" s="12">
        <f t="shared" si="87"/>
        <v>0</v>
      </c>
      <c r="V145" s="11">
        <f t="shared" si="88"/>
        <v>0</v>
      </c>
      <c r="W145" s="11">
        <f t="shared" si="89"/>
        <v>0</v>
      </c>
      <c r="X145" s="11">
        <f t="shared" si="90"/>
        <v>0</v>
      </c>
      <c r="Y145" s="11">
        <f t="shared" si="91"/>
        <v>0</v>
      </c>
      <c r="Z145" s="12">
        <f t="shared" si="92"/>
        <v>0</v>
      </c>
      <c r="AA145" s="11">
        <f t="shared" si="93"/>
        <v>0</v>
      </c>
      <c r="AB145" s="11">
        <f t="shared" si="94"/>
        <v>0</v>
      </c>
      <c r="AC145" s="11">
        <f t="shared" si="95"/>
        <v>0</v>
      </c>
      <c r="AD145" s="11">
        <f t="shared" si="96"/>
        <v>0</v>
      </c>
      <c r="AE145" s="13">
        <f t="shared" si="97"/>
        <v>0</v>
      </c>
      <c r="AF145" s="13">
        <f t="shared" si="98"/>
        <v>0</v>
      </c>
      <c r="AG145" s="11">
        <f t="shared" si="99"/>
        <v>0</v>
      </c>
      <c r="AH145" s="14" t="str">
        <f t="shared" si="68"/>
        <v>InvalidSymbolDetails</v>
      </c>
      <c r="AI145" s="12">
        <f t="shared" si="100"/>
        <v>0</v>
      </c>
    </row>
    <row r="146" spans="1:35" x14ac:dyDescent="0.25">
      <c r="A146" s="9"/>
      <c r="B146" s="9"/>
      <c r="C146" s="10" t="str">
        <f t="shared" si="69"/>
        <v/>
      </c>
      <c r="D146" s="11">
        <f t="shared" si="70"/>
        <v>0</v>
      </c>
      <c r="E146" s="11">
        <f t="shared" si="71"/>
        <v>0</v>
      </c>
      <c r="F146" s="11">
        <f t="shared" si="72"/>
        <v>0</v>
      </c>
      <c r="G146" s="12">
        <f t="shared" si="73"/>
        <v>0</v>
      </c>
      <c r="H146" s="11">
        <f t="shared" si="74"/>
        <v>0</v>
      </c>
      <c r="I146" s="11">
        <f t="shared" si="75"/>
        <v>0</v>
      </c>
      <c r="J146" s="12">
        <f t="shared" si="76"/>
        <v>0</v>
      </c>
      <c r="K146" s="11">
        <f t="shared" si="77"/>
        <v>0</v>
      </c>
      <c r="L146" s="12">
        <f t="shared" si="78"/>
        <v>0</v>
      </c>
      <c r="M146" s="12">
        <f t="shared" si="79"/>
        <v>0</v>
      </c>
      <c r="N146" s="11">
        <f t="shared" si="80"/>
        <v>0</v>
      </c>
      <c r="O146" s="12">
        <f t="shared" si="81"/>
        <v>0</v>
      </c>
      <c r="P146" s="11">
        <f t="shared" si="82"/>
        <v>0</v>
      </c>
      <c r="Q146" s="12">
        <f t="shared" si="83"/>
        <v>0</v>
      </c>
      <c r="R146" s="11">
        <f t="shared" si="84"/>
        <v>0</v>
      </c>
      <c r="S146" s="12">
        <f t="shared" si="85"/>
        <v>0</v>
      </c>
      <c r="T146" s="12">
        <f t="shared" si="86"/>
        <v>0</v>
      </c>
      <c r="U146" s="12">
        <f t="shared" si="87"/>
        <v>0</v>
      </c>
      <c r="V146" s="11">
        <f t="shared" si="88"/>
        <v>0</v>
      </c>
      <c r="W146" s="11">
        <f t="shared" si="89"/>
        <v>0</v>
      </c>
      <c r="X146" s="11">
        <f t="shared" si="90"/>
        <v>0</v>
      </c>
      <c r="Y146" s="11">
        <f t="shared" si="91"/>
        <v>0</v>
      </c>
      <c r="Z146" s="12">
        <f t="shared" si="92"/>
        <v>0</v>
      </c>
      <c r="AA146" s="11">
        <f t="shared" si="93"/>
        <v>0</v>
      </c>
      <c r="AB146" s="11">
        <f t="shared" si="94"/>
        <v>0</v>
      </c>
      <c r="AC146" s="11">
        <f t="shared" si="95"/>
        <v>0</v>
      </c>
      <c r="AD146" s="11">
        <f t="shared" si="96"/>
        <v>0</v>
      </c>
      <c r="AE146" s="13">
        <f t="shared" si="97"/>
        <v>0</v>
      </c>
      <c r="AF146" s="13">
        <f t="shared" si="98"/>
        <v>0</v>
      </c>
      <c r="AG146" s="11">
        <f t="shared" si="99"/>
        <v>0</v>
      </c>
      <c r="AH146" s="14" t="str">
        <f t="shared" si="68"/>
        <v>InvalidSymbolDetails</v>
      </c>
      <c r="AI146" s="12">
        <f t="shared" si="100"/>
        <v>0</v>
      </c>
    </row>
    <row r="147" spans="1:35" x14ac:dyDescent="0.25">
      <c r="A147" s="9"/>
      <c r="B147" s="9"/>
      <c r="C147" s="10" t="str">
        <f t="shared" si="69"/>
        <v/>
      </c>
      <c r="D147" s="11">
        <f t="shared" si="70"/>
        <v>0</v>
      </c>
      <c r="E147" s="11">
        <f t="shared" si="71"/>
        <v>0</v>
      </c>
      <c r="F147" s="11">
        <f t="shared" si="72"/>
        <v>0</v>
      </c>
      <c r="G147" s="12">
        <f t="shared" si="73"/>
        <v>0</v>
      </c>
      <c r="H147" s="11">
        <f t="shared" si="74"/>
        <v>0</v>
      </c>
      <c r="I147" s="11">
        <f t="shared" si="75"/>
        <v>0</v>
      </c>
      <c r="J147" s="12">
        <f t="shared" si="76"/>
        <v>0</v>
      </c>
      <c r="K147" s="11">
        <f t="shared" si="77"/>
        <v>0</v>
      </c>
      <c r="L147" s="12">
        <f t="shared" si="78"/>
        <v>0</v>
      </c>
      <c r="M147" s="12">
        <f t="shared" si="79"/>
        <v>0</v>
      </c>
      <c r="N147" s="11">
        <f t="shared" si="80"/>
        <v>0</v>
      </c>
      <c r="O147" s="12">
        <f t="shared" si="81"/>
        <v>0</v>
      </c>
      <c r="P147" s="11">
        <f t="shared" si="82"/>
        <v>0</v>
      </c>
      <c r="Q147" s="12">
        <f t="shared" si="83"/>
        <v>0</v>
      </c>
      <c r="R147" s="11">
        <f t="shared" si="84"/>
        <v>0</v>
      </c>
      <c r="S147" s="12">
        <f t="shared" si="85"/>
        <v>0</v>
      </c>
      <c r="T147" s="12">
        <f t="shared" si="86"/>
        <v>0</v>
      </c>
      <c r="U147" s="12">
        <f t="shared" si="87"/>
        <v>0</v>
      </c>
      <c r="V147" s="11">
        <f t="shared" si="88"/>
        <v>0</v>
      </c>
      <c r="W147" s="11">
        <f t="shared" si="89"/>
        <v>0</v>
      </c>
      <c r="X147" s="11">
        <f t="shared" si="90"/>
        <v>0</v>
      </c>
      <c r="Y147" s="11">
        <f t="shared" si="91"/>
        <v>0</v>
      </c>
      <c r="Z147" s="12">
        <f t="shared" si="92"/>
        <v>0</v>
      </c>
      <c r="AA147" s="11">
        <f t="shared" si="93"/>
        <v>0</v>
      </c>
      <c r="AB147" s="11">
        <f t="shared" si="94"/>
        <v>0</v>
      </c>
      <c r="AC147" s="11">
        <f t="shared" si="95"/>
        <v>0</v>
      </c>
      <c r="AD147" s="11">
        <f t="shared" si="96"/>
        <v>0</v>
      </c>
      <c r="AE147" s="13">
        <f t="shared" si="97"/>
        <v>0</v>
      </c>
      <c r="AF147" s="13">
        <f t="shared" si="98"/>
        <v>0</v>
      </c>
      <c r="AG147" s="11">
        <f t="shared" si="99"/>
        <v>0</v>
      </c>
      <c r="AH147" s="14" t="str">
        <f t="shared" si="68"/>
        <v>InvalidSymbolDetails</v>
      </c>
      <c r="AI147" s="12">
        <f t="shared" si="100"/>
        <v>0</v>
      </c>
    </row>
    <row r="148" spans="1:35" x14ac:dyDescent="0.25">
      <c r="A148" s="9"/>
      <c r="B148" s="9"/>
      <c r="C148" s="10" t="str">
        <f t="shared" si="69"/>
        <v/>
      </c>
      <c r="D148" s="11">
        <f t="shared" si="70"/>
        <v>0</v>
      </c>
      <c r="E148" s="11">
        <f t="shared" si="71"/>
        <v>0</v>
      </c>
      <c r="F148" s="11">
        <f t="shared" si="72"/>
        <v>0</v>
      </c>
      <c r="G148" s="12">
        <f t="shared" si="73"/>
        <v>0</v>
      </c>
      <c r="H148" s="11">
        <f t="shared" si="74"/>
        <v>0</v>
      </c>
      <c r="I148" s="11">
        <f t="shared" si="75"/>
        <v>0</v>
      </c>
      <c r="J148" s="12">
        <f t="shared" si="76"/>
        <v>0</v>
      </c>
      <c r="K148" s="11">
        <f t="shared" si="77"/>
        <v>0</v>
      </c>
      <c r="L148" s="12">
        <f t="shared" si="78"/>
        <v>0</v>
      </c>
      <c r="M148" s="12">
        <f t="shared" si="79"/>
        <v>0</v>
      </c>
      <c r="N148" s="11">
        <f t="shared" si="80"/>
        <v>0</v>
      </c>
      <c r="O148" s="12">
        <f t="shared" si="81"/>
        <v>0</v>
      </c>
      <c r="P148" s="11">
        <f t="shared" si="82"/>
        <v>0</v>
      </c>
      <c r="Q148" s="12">
        <f t="shared" si="83"/>
        <v>0</v>
      </c>
      <c r="R148" s="11">
        <f t="shared" si="84"/>
        <v>0</v>
      </c>
      <c r="S148" s="12">
        <f t="shared" si="85"/>
        <v>0</v>
      </c>
      <c r="T148" s="12">
        <f t="shared" si="86"/>
        <v>0</v>
      </c>
      <c r="U148" s="12">
        <f t="shared" si="87"/>
        <v>0</v>
      </c>
      <c r="V148" s="11">
        <f t="shared" si="88"/>
        <v>0</v>
      </c>
      <c r="W148" s="11">
        <f t="shared" si="89"/>
        <v>0</v>
      </c>
      <c r="X148" s="11">
        <f t="shared" si="90"/>
        <v>0</v>
      </c>
      <c r="Y148" s="11">
        <f t="shared" si="91"/>
        <v>0</v>
      </c>
      <c r="Z148" s="12">
        <f t="shared" si="92"/>
        <v>0</v>
      </c>
      <c r="AA148" s="11">
        <f t="shared" si="93"/>
        <v>0</v>
      </c>
      <c r="AB148" s="11">
        <f t="shared" si="94"/>
        <v>0</v>
      </c>
      <c r="AC148" s="11">
        <f t="shared" si="95"/>
        <v>0</v>
      </c>
      <c r="AD148" s="11">
        <f t="shared" si="96"/>
        <v>0</v>
      </c>
      <c r="AE148" s="13">
        <f t="shared" si="97"/>
        <v>0</v>
      </c>
      <c r="AF148" s="13">
        <f t="shared" si="98"/>
        <v>0</v>
      </c>
      <c r="AG148" s="11">
        <f t="shared" si="99"/>
        <v>0</v>
      </c>
      <c r="AH148" s="14" t="str">
        <f t="shared" si="68"/>
        <v>InvalidSymbolDetails</v>
      </c>
      <c r="AI148" s="12">
        <f t="shared" si="100"/>
        <v>0</v>
      </c>
    </row>
    <row r="149" spans="1:35" x14ac:dyDescent="0.25">
      <c r="A149" s="9"/>
      <c r="B149" s="9"/>
      <c r="C149" s="10" t="str">
        <f t="shared" si="69"/>
        <v/>
      </c>
      <c r="D149" s="11">
        <f t="shared" si="70"/>
        <v>0</v>
      </c>
      <c r="E149" s="11">
        <f t="shared" si="71"/>
        <v>0</v>
      </c>
      <c r="F149" s="11">
        <f t="shared" si="72"/>
        <v>0</v>
      </c>
      <c r="G149" s="12">
        <f t="shared" si="73"/>
        <v>0</v>
      </c>
      <c r="H149" s="11">
        <f t="shared" si="74"/>
        <v>0</v>
      </c>
      <c r="I149" s="11">
        <f t="shared" si="75"/>
        <v>0</v>
      </c>
      <c r="J149" s="12">
        <f t="shared" si="76"/>
        <v>0</v>
      </c>
      <c r="K149" s="11">
        <f t="shared" si="77"/>
        <v>0</v>
      </c>
      <c r="L149" s="12">
        <f t="shared" si="78"/>
        <v>0</v>
      </c>
      <c r="M149" s="12">
        <f t="shared" si="79"/>
        <v>0</v>
      </c>
      <c r="N149" s="11">
        <f t="shared" si="80"/>
        <v>0</v>
      </c>
      <c r="O149" s="12">
        <f t="shared" si="81"/>
        <v>0</v>
      </c>
      <c r="P149" s="11">
        <f t="shared" si="82"/>
        <v>0</v>
      </c>
      <c r="Q149" s="12">
        <f t="shared" si="83"/>
        <v>0</v>
      </c>
      <c r="R149" s="11">
        <f t="shared" si="84"/>
        <v>0</v>
      </c>
      <c r="S149" s="12">
        <f t="shared" si="85"/>
        <v>0</v>
      </c>
      <c r="T149" s="12">
        <f t="shared" si="86"/>
        <v>0</v>
      </c>
      <c r="U149" s="12">
        <f t="shared" si="87"/>
        <v>0</v>
      </c>
      <c r="V149" s="11">
        <f t="shared" si="88"/>
        <v>0</v>
      </c>
      <c r="W149" s="11">
        <f t="shared" si="89"/>
        <v>0</v>
      </c>
      <c r="X149" s="11">
        <f t="shared" si="90"/>
        <v>0</v>
      </c>
      <c r="Y149" s="11">
        <f t="shared" si="91"/>
        <v>0</v>
      </c>
      <c r="Z149" s="12">
        <f t="shared" si="92"/>
        <v>0</v>
      </c>
      <c r="AA149" s="11">
        <f t="shared" si="93"/>
        <v>0</v>
      </c>
      <c r="AB149" s="11">
        <f t="shared" si="94"/>
        <v>0</v>
      </c>
      <c r="AC149" s="11">
        <f t="shared" si="95"/>
        <v>0</v>
      </c>
      <c r="AD149" s="11">
        <f t="shared" si="96"/>
        <v>0</v>
      </c>
      <c r="AE149" s="13">
        <f t="shared" si="97"/>
        <v>0</v>
      </c>
      <c r="AF149" s="13">
        <f t="shared" si="98"/>
        <v>0</v>
      </c>
      <c r="AG149" s="11">
        <f t="shared" si="99"/>
        <v>0</v>
      </c>
      <c r="AH149" s="14" t="str">
        <f t="shared" si="68"/>
        <v>InvalidSymbolDetails</v>
      </c>
      <c r="AI149" s="12">
        <f t="shared" si="100"/>
        <v>0</v>
      </c>
    </row>
    <row r="150" spans="1:35" x14ac:dyDescent="0.25">
      <c r="A150" s="9"/>
      <c r="B150" s="9"/>
      <c r="C150" s="10" t="str">
        <f t="shared" si="69"/>
        <v/>
      </c>
      <c r="D150" s="11">
        <f t="shared" si="70"/>
        <v>0</v>
      </c>
      <c r="E150" s="11">
        <f t="shared" si="71"/>
        <v>0</v>
      </c>
      <c r="F150" s="11">
        <f t="shared" si="72"/>
        <v>0</v>
      </c>
      <c r="G150" s="12">
        <f t="shared" si="73"/>
        <v>0</v>
      </c>
      <c r="H150" s="11">
        <f t="shared" si="74"/>
        <v>0</v>
      </c>
      <c r="I150" s="11">
        <f t="shared" si="75"/>
        <v>0</v>
      </c>
      <c r="J150" s="12">
        <f t="shared" si="76"/>
        <v>0</v>
      </c>
      <c r="K150" s="11">
        <f t="shared" si="77"/>
        <v>0</v>
      </c>
      <c r="L150" s="12">
        <f t="shared" si="78"/>
        <v>0</v>
      </c>
      <c r="M150" s="12">
        <f t="shared" si="79"/>
        <v>0</v>
      </c>
      <c r="N150" s="11">
        <f t="shared" si="80"/>
        <v>0</v>
      </c>
      <c r="O150" s="12">
        <f t="shared" si="81"/>
        <v>0</v>
      </c>
      <c r="P150" s="11">
        <f t="shared" si="82"/>
        <v>0</v>
      </c>
      <c r="Q150" s="12">
        <f t="shared" si="83"/>
        <v>0</v>
      </c>
      <c r="R150" s="11">
        <f t="shared" si="84"/>
        <v>0</v>
      </c>
      <c r="S150" s="12">
        <f t="shared" si="85"/>
        <v>0</v>
      </c>
      <c r="T150" s="12">
        <f t="shared" si="86"/>
        <v>0</v>
      </c>
      <c r="U150" s="12">
        <f t="shared" si="87"/>
        <v>0</v>
      </c>
      <c r="V150" s="11">
        <f t="shared" si="88"/>
        <v>0</v>
      </c>
      <c r="W150" s="11">
        <f t="shared" si="89"/>
        <v>0</v>
      </c>
      <c r="X150" s="11">
        <f t="shared" si="90"/>
        <v>0</v>
      </c>
      <c r="Y150" s="11">
        <f t="shared" si="91"/>
        <v>0</v>
      </c>
      <c r="Z150" s="12">
        <f t="shared" si="92"/>
        <v>0</v>
      </c>
      <c r="AA150" s="11">
        <f t="shared" si="93"/>
        <v>0</v>
      </c>
      <c r="AB150" s="11">
        <f t="shared" si="94"/>
        <v>0</v>
      </c>
      <c r="AC150" s="11">
        <f t="shared" si="95"/>
        <v>0</v>
      </c>
      <c r="AD150" s="11">
        <f t="shared" si="96"/>
        <v>0</v>
      </c>
      <c r="AE150" s="13">
        <f t="shared" si="97"/>
        <v>0</v>
      </c>
      <c r="AF150" s="13">
        <f t="shared" si="98"/>
        <v>0</v>
      </c>
      <c r="AG150" s="11">
        <f t="shared" si="99"/>
        <v>0</v>
      </c>
      <c r="AH150" s="14" t="str">
        <f t="shared" si="68"/>
        <v>InvalidSymbolDetails</v>
      </c>
      <c r="AI150" s="12">
        <f t="shared" si="100"/>
        <v>0</v>
      </c>
    </row>
    <row r="151" spans="1:35" x14ac:dyDescent="0.25">
      <c r="A151" s="9"/>
      <c r="B151" s="9"/>
      <c r="C151" s="10" t="str">
        <f t="shared" si="69"/>
        <v/>
      </c>
      <c r="D151" s="11">
        <f t="shared" si="70"/>
        <v>0</v>
      </c>
      <c r="E151" s="11">
        <f t="shared" si="71"/>
        <v>0</v>
      </c>
      <c r="F151" s="11">
        <f t="shared" si="72"/>
        <v>0</v>
      </c>
      <c r="G151" s="12">
        <f t="shared" si="73"/>
        <v>0</v>
      </c>
      <c r="H151" s="11">
        <f t="shared" si="74"/>
        <v>0</v>
      </c>
      <c r="I151" s="11">
        <f t="shared" si="75"/>
        <v>0</v>
      </c>
      <c r="J151" s="12">
        <f t="shared" si="76"/>
        <v>0</v>
      </c>
      <c r="K151" s="11">
        <f t="shared" si="77"/>
        <v>0</v>
      </c>
      <c r="L151" s="12">
        <f t="shared" si="78"/>
        <v>0</v>
      </c>
      <c r="M151" s="12">
        <f t="shared" si="79"/>
        <v>0</v>
      </c>
      <c r="N151" s="11">
        <f t="shared" si="80"/>
        <v>0</v>
      </c>
      <c r="O151" s="12">
        <f t="shared" si="81"/>
        <v>0</v>
      </c>
      <c r="P151" s="11">
        <f t="shared" si="82"/>
        <v>0</v>
      </c>
      <c r="Q151" s="12">
        <f t="shared" si="83"/>
        <v>0</v>
      </c>
      <c r="R151" s="11">
        <f t="shared" si="84"/>
        <v>0</v>
      </c>
      <c r="S151" s="12">
        <f t="shared" si="85"/>
        <v>0</v>
      </c>
      <c r="T151" s="12">
        <f t="shared" si="86"/>
        <v>0</v>
      </c>
      <c r="U151" s="12">
        <f t="shared" si="87"/>
        <v>0</v>
      </c>
      <c r="V151" s="11">
        <f t="shared" si="88"/>
        <v>0</v>
      </c>
      <c r="W151" s="11">
        <f t="shared" si="89"/>
        <v>0</v>
      </c>
      <c r="X151" s="11">
        <f t="shared" si="90"/>
        <v>0</v>
      </c>
      <c r="Y151" s="11">
        <f t="shared" si="91"/>
        <v>0</v>
      </c>
      <c r="Z151" s="12">
        <f t="shared" si="92"/>
        <v>0</v>
      </c>
      <c r="AA151" s="11">
        <f t="shared" si="93"/>
        <v>0</v>
      </c>
      <c r="AB151" s="11">
        <f t="shared" si="94"/>
        <v>0</v>
      </c>
      <c r="AC151" s="11">
        <f t="shared" si="95"/>
        <v>0</v>
      </c>
      <c r="AD151" s="11">
        <f t="shared" si="96"/>
        <v>0</v>
      </c>
      <c r="AE151" s="13">
        <f t="shared" si="97"/>
        <v>0</v>
      </c>
      <c r="AF151" s="13">
        <f t="shared" si="98"/>
        <v>0</v>
      </c>
      <c r="AG151" s="11">
        <f t="shared" si="99"/>
        <v>0</v>
      </c>
      <c r="AH151" s="14" t="str">
        <f t="shared" si="68"/>
        <v>InvalidSymbolDetails</v>
      </c>
      <c r="AI151" s="12">
        <f t="shared" si="100"/>
        <v>0</v>
      </c>
    </row>
    <row r="152" spans="1:35" x14ac:dyDescent="0.25">
      <c r="A152" s="9"/>
      <c r="B152" s="9"/>
      <c r="C152" s="10" t="str">
        <f t="shared" si="69"/>
        <v/>
      </c>
      <c r="D152" s="11">
        <f t="shared" si="70"/>
        <v>0</v>
      </c>
      <c r="E152" s="11">
        <f t="shared" si="71"/>
        <v>0</v>
      </c>
      <c r="F152" s="11">
        <f t="shared" si="72"/>
        <v>0</v>
      </c>
      <c r="G152" s="12">
        <f t="shared" si="73"/>
        <v>0</v>
      </c>
      <c r="H152" s="11">
        <f t="shared" si="74"/>
        <v>0</v>
      </c>
      <c r="I152" s="11">
        <f t="shared" si="75"/>
        <v>0</v>
      </c>
      <c r="J152" s="12">
        <f t="shared" si="76"/>
        <v>0</v>
      </c>
      <c r="K152" s="11">
        <f t="shared" si="77"/>
        <v>0</v>
      </c>
      <c r="L152" s="12">
        <f t="shared" si="78"/>
        <v>0</v>
      </c>
      <c r="M152" s="12">
        <f t="shared" si="79"/>
        <v>0</v>
      </c>
      <c r="N152" s="11">
        <f t="shared" si="80"/>
        <v>0</v>
      </c>
      <c r="O152" s="12">
        <f t="shared" si="81"/>
        <v>0</v>
      </c>
      <c r="P152" s="11">
        <f t="shared" si="82"/>
        <v>0</v>
      </c>
      <c r="Q152" s="12">
        <f t="shared" si="83"/>
        <v>0</v>
      </c>
      <c r="R152" s="11">
        <f t="shared" si="84"/>
        <v>0</v>
      </c>
      <c r="S152" s="12">
        <f t="shared" si="85"/>
        <v>0</v>
      </c>
      <c r="T152" s="12">
        <f t="shared" si="86"/>
        <v>0</v>
      </c>
      <c r="U152" s="12">
        <f t="shared" si="87"/>
        <v>0</v>
      </c>
      <c r="V152" s="11">
        <f t="shared" si="88"/>
        <v>0</v>
      </c>
      <c r="W152" s="11">
        <f t="shared" si="89"/>
        <v>0</v>
      </c>
      <c r="X152" s="11">
        <f t="shared" si="90"/>
        <v>0</v>
      </c>
      <c r="Y152" s="11">
        <f t="shared" si="91"/>
        <v>0</v>
      </c>
      <c r="Z152" s="12">
        <f t="shared" si="92"/>
        <v>0</v>
      </c>
      <c r="AA152" s="11">
        <f t="shared" si="93"/>
        <v>0</v>
      </c>
      <c r="AB152" s="11">
        <f t="shared" si="94"/>
        <v>0</v>
      </c>
      <c r="AC152" s="11">
        <f t="shared" si="95"/>
        <v>0</v>
      </c>
      <c r="AD152" s="11">
        <f t="shared" si="96"/>
        <v>0</v>
      </c>
      <c r="AE152" s="13">
        <f t="shared" si="97"/>
        <v>0</v>
      </c>
      <c r="AF152" s="13">
        <f t="shared" si="98"/>
        <v>0</v>
      </c>
      <c r="AG152" s="11">
        <f t="shared" si="99"/>
        <v>0</v>
      </c>
      <c r="AH152" s="14" t="str">
        <f t="shared" si="68"/>
        <v>InvalidSymbolDetails</v>
      </c>
      <c r="AI152" s="12">
        <f t="shared" si="100"/>
        <v>0</v>
      </c>
    </row>
    <row r="153" spans="1:35" x14ac:dyDescent="0.25">
      <c r="A153" s="9"/>
      <c r="B153" s="9"/>
      <c r="C153" s="10" t="str">
        <f t="shared" si="69"/>
        <v/>
      </c>
      <c r="D153" s="11">
        <f t="shared" si="70"/>
        <v>0</v>
      </c>
      <c r="E153" s="11">
        <f t="shared" si="71"/>
        <v>0</v>
      </c>
      <c r="F153" s="11">
        <f t="shared" si="72"/>
        <v>0</v>
      </c>
      <c r="G153" s="12">
        <f t="shared" si="73"/>
        <v>0</v>
      </c>
      <c r="H153" s="11">
        <f t="shared" si="74"/>
        <v>0</v>
      </c>
      <c r="I153" s="11">
        <f t="shared" si="75"/>
        <v>0</v>
      </c>
      <c r="J153" s="12">
        <f t="shared" si="76"/>
        <v>0</v>
      </c>
      <c r="K153" s="11">
        <f t="shared" si="77"/>
        <v>0</v>
      </c>
      <c r="L153" s="12">
        <f t="shared" si="78"/>
        <v>0</v>
      </c>
      <c r="M153" s="12">
        <f t="shared" si="79"/>
        <v>0</v>
      </c>
      <c r="N153" s="11">
        <f t="shared" si="80"/>
        <v>0</v>
      </c>
      <c r="O153" s="12">
        <f t="shared" si="81"/>
        <v>0</v>
      </c>
      <c r="P153" s="11">
        <f t="shared" si="82"/>
        <v>0</v>
      </c>
      <c r="Q153" s="12">
        <f t="shared" si="83"/>
        <v>0</v>
      </c>
      <c r="R153" s="11">
        <f t="shared" si="84"/>
        <v>0</v>
      </c>
      <c r="S153" s="12">
        <f t="shared" si="85"/>
        <v>0</v>
      </c>
      <c r="T153" s="12">
        <f t="shared" si="86"/>
        <v>0</v>
      </c>
      <c r="U153" s="12">
        <f t="shared" si="87"/>
        <v>0</v>
      </c>
      <c r="V153" s="11">
        <f t="shared" si="88"/>
        <v>0</v>
      </c>
      <c r="W153" s="11">
        <f t="shared" si="89"/>
        <v>0</v>
      </c>
      <c r="X153" s="11">
        <f t="shared" si="90"/>
        <v>0</v>
      </c>
      <c r="Y153" s="11">
        <f t="shared" si="91"/>
        <v>0</v>
      </c>
      <c r="Z153" s="12">
        <f t="shared" si="92"/>
        <v>0</v>
      </c>
      <c r="AA153" s="11">
        <f t="shared" si="93"/>
        <v>0</v>
      </c>
      <c r="AB153" s="11">
        <f t="shared" si="94"/>
        <v>0</v>
      </c>
      <c r="AC153" s="11">
        <f t="shared" si="95"/>
        <v>0</v>
      </c>
      <c r="AD153" s="11">
        <f t="shared" si="96"/>
        <v>0</v>
      </c>
      <c r="AE153" s="13">
        <f t="shared" si="97"/>
        <v>0</v>
      </c>
      <c r="AF153" s="13">
        <f t="shared" si="98"/>
        <v>0</v>
      </c>
      <c r="AG153" s="11">
        <f t="shared" si="99"/>
        <v>0</v>
      </c>
      <c r="AH153" s="14" t="str">
        <f t="shared" si="68"/>
        <v>InvalidSymbolDetails</v>
      </c>
      <c r="AI153" s="12">
        <f t="shared" si="100"/>
        <v>0</v>
      </c>
    </row>
    <row r="154" spans="1:35" x14ac:dyDescent="0.25">
      <c r="A154" s="9"/>
      <c r="B154" s="9"/>
      <c r="C154" s="10" t="str">
        <f t="shared" si="69"/>
        <v/>
      </c>
      <c r="D154" s="11">
        <f t="shared" si="70"/>
        <v>0</v>
      </c>
      <c r="E154" s="11">
        <f t="shared" si="71"/>
        <v>0</v>
      </c>
      <c r="F154" s="11">
        <f t="shared" si="72"/>
        <v>0</v>
      </c>
      <c r="G154" s="12">
        <f t="shared" si="73"/>
        <v>0</v>
      </c>
      <c r="H154" s="11">
        <f t="shared" si="74"/>
        <v>0</v>
      </c>
      <c r="I154" s="11">
        <f t="shared" si="75"/>
        <v>0</v>
      </c>
      <c r="J154" s="12">
        <f t="shared" si="76"/>
        <v>0</v>
      </c>
      <c r="K154" s="11">
        <f t="shared" si="77"/>
        <v>0</v>
      </c>
      <c r="L154" s="12">
        <f t="shared" si="78"/>
        <v>0</v>
      </c>
      <c r="M154" s="12">
        <f t="shared" si="79"/>
        <v>0</v>
      </c>
      <c r="N154" s="11">
        <f t="shared" si="80"/>
        <v>0</v>
      </c>
      <c r="O154" s="12">
        <f t="shared" si="81"/>
        <v>0</v>
      </c>
      <c r="P154" s="11">
        <f t="shared" si="82"/>
        <v>0</v>
      </c>
      <c r="Q154" s="12">
        <f t="shared" si="83"/>
        <v>0</v>
      </c>
      <c r="R154" s="11">
        <f t="shared" si="84"/>
        <v>0</v>
      </c>
      <c r="S154" s="12">
        <f t="shared" si="85"/>
        <v>0</v>
      </c>
      <c r="T154" s="12">
        <f t="shared" si="86"/>
        <v>0</v>
      </c>
      <c r="U154" s="12">
        <f t="shared" si="87"/>
        <v>0</v>
      </c>
      <c r="V154" s="11">
        <f t="shared" si="88"/>
        <v>0</v>
      </c>
      <c r="W154" s="11">
        <f t="shared" si="89"/>
        <v>0</v>
      </c>
      <c r="X154" s="11">
        <f t="shared" si="90"/>
        <v>0</v>
      </c>
      <c r="Y154" s="11">
        <f t="shared" si="91"/>
        <v>0</v>
      </c>
      <c r="Z154" s="12">
        <f t="shared" si="92"/>
        <v>0</v>
      </c>
      <c r="AA154" s="11">
        <f t="shared" si="93"/>
        <v>0</v>
      </c>
      <c r="AB154" s="11">
        <f t="shared" si="94"/>
        <v>0</v>
      </c>
      <c r="AC154" s="11">
        <f t="shared" si="95"/>
        <v>0</v>
      </c>
      <c r="AD154" s="11">
        <f t="shared" si="96"/>
        <v>0</v>
      </c>
      <c r="AE154" s="13">
        <f t="shared" si="97"/>
        <v>0</v>
      </c>
      <c r="AF154" s="13">
        <f t="shared" si="98"/>
        <v>0</v>
      </c>
      <c r="AG154" s="11">
        <f t="shared" si="99"/>
        <v>0</v>
      </c>
      <c r="AH154" s="14" t="str">
        <f t="shared" si="68"/>
        <v>InvalidSymbolDetails</v>
      </c>
      <c r="AI154" s="12">
        <f t="shared" si="100"/>
        <v>0</v>
      </c>
    </row>
    <row r="155" spans="1:35" x14ac:dyDescent="0.25">
      <c r="A155" s="9"/>
      <c r="B155" s="9"/>
      <c r="C155" s="10" t="str">
        <f t="shared" si="69"/>
        <v/>
      </c>
      <c r="D155" s="11">
        <f t="shared" si="70"/>
        <v>0</v>
      </c>
      <c r="E155" s="11">
        <f t="shared" si="71"/>
        <v>0</v>
      </c>
      <c r="F155" s="11">
        <f t="shared" si="72"/>
        <v>0</v>
      </c>
      <c r="G155" s="12">
        <f t="shared" si="73"/>
        <v>0</v>
      </c>
      <c r="H155" s="11">
        <f t="shared" si="74"/>
        <v>0</v>
      </c>
      <c r="I155" s="11">
        <f t="shared" si="75"/>
        <v>0</v>
      </c>
      <c r="J155" s="12">
        <f t="shared" si="76"/>
        <v>0</v>
      </c>
      <c r="K155" s="11">
        <f t="shared" si="77"/>
        <v>0</v>
      </c>
      <c r="L155" s="12">
        <f t="shared" si="78"/>
        <v>0</v>
      </c>
      <c r="M155" s="12">
        <f t="shared" si="79"/>
        <v>0</v>
      </c>
      <c r="N155" s="11">
        <f t="shared" si="80"/>
        <v>0</v>
      </c>
      <c r="O155" s="12">
        <f t="shared" si="81"/>
        <v>0</v>
      </c>
      <c r="P155" s="11">
        <f t="shared" si="82"/>
        <v>0</v>
      </c>
      <c r="Q155" s="12">
        <f t="shared" si="83"/>
        <v>0</v>
      </c>
      <c r="R155" s="11">
        <f t="shared" si="84"/>
        <v>0</v>
      </c>
      <c r="S155" s="12">
        <f t="shared" si="85"/>
        <v>0</v>
      </c>
      <c r="T155" s="12">
        <f t="shared" si="86"/>
        <v>0</v>
      </c>
      <c r="U155" s="12">
        <f t="shared" si="87"/>
        <v>0</v>
      </c>
      <c r="V155" s="11">
        <f t="shared" si="88"/>
        <v>0</v>
      </c>
      <c r="W155" s="11">
        <f t="shared" si="89"/>
        <v>0</v>
      </c>
      <c r="X155" s="11">
        <f t="shared" si="90"/>
        <v>0</v>
      </c>
      <c r="Y155" s="11">
        <f t="shared" si="91"/>
        <v>0</v>
      </c>
      <c r="Z155" s="12">
        <f t="shared" si="92"/>
        <v>0</v>
      </c>
      <c r="AA155" s="11">
        <f t="shared" si="93"/>
        <v>0</v>
      </c>
      <c r="AB155" s="11">
        <f t="shared" si="94"/>
        <v>0</v>
      </c>
      <c r="AC155" s="11">
        <f t="shared" si="95"/>
        <v>0</v>
      </c>
      <c r="AD155" s="11">
        <f t="shared" si="96"/>
        <v>0</v>
      </c>
      <c r="AE155" s="13">
        <f t="shared" si="97"/>
        <v>0</v>
      </c>
      <c r="AF155" s="13">
        <f t="shared" si="98"/>
        <v>0</v>
      </c>
      <c r="AG155" s="11">
        <f t="shared" si="99"/>
        <v>0</v>
      </c>
      <c r="AH155" s="14" t="str">
        <f t="shared" si="68"/>
        <v>InvalidSymbolDetails</v>
      </c>
      <c r="AI155" s="12">
        <f t="shared" si="100"/>
        <v>0</v>
      </c>
    </row>
    <row r="156" spans="1:35" x14ac:dyDescent="0.25">
      <c r="A156" s="9"/>
      <c r="B156" s="9"/>
      <c r="C156" s="10" t="str">
        <f t="shared" si="69"/>
        <v/>
      </c>
      <c r="D156" s="11">
        <f t="shared" si="70"/>
        <v>0</v>
      </c>
      <c r="E156" s="11">
        <f t="shared" si="71"/>
        <v>0</v>
      </c>
      <c r="F156" s="11">
        <f t="shared" si="72"/>
        <v>0</v>
      </c>
      <c r="G156" s="12">
        <f t="shared" si="73"/>
        <v>0</v>
      </c>
      <c r="H156" s="11">
        <f t="shared" si="74"/>
        <v>0</v>
      </c>
      <c r="I156" s="11">
        <f t="shared" si="75"/>
        <v>0</v>
      </c>
      <c r="J156" s="12">
        <f t="shared" si="76"/>
        <v>0</v>
      </c>
      <c r="K156" s="11">
        <f t="shared" si="77"/>
        <v>0</v>
      </c>
      <c r="L156" s="12">
        <f t="shared" si="78"/>
        <v>0</v>
      </c>
      <c r="M156" s="12">
        <f t="shared" si="79"/>
        <v>0</v>
      </c>
      <c r="N156" s="11">
        <f t="shared" si="80"/>
        <v>0</v>
      </c>
      <c r="O156" s="12">
        <f t="shared" si="81"/>
        <v>0</v>
      </c>
      <c r="P156" s="11">
        <f t="shared" si="82"/>
        <v>0</v>
      </c>
      <c r="Q156" s="12">
        <f t="shared" si="83"/>
        <v>0</v>
      </c>
      <c r="R156" s="11">
        <f t="shared" si="84"/>
        <v>0</v>
      </c>
      <c r="S156" s="12">
        <f t="shared" si="85"/>
        <v>0</v>
      </c>
      <c r="T156" s="12">
        <f t="shared" si="86"/>
        <v>0</v>
      </c>
      <c r="U156" s="12">
        <f t="shared" si="87"/>
        <v>0</v>
      </c>
      <c r="V156" s="11">
        <f t="shared" si="88"/>
        <v>0</v>
      </c>
      <c r="W156" s="11">
        <f t="shared" si="89"/>
        <v>0</v>
      </c>
      <c r="X156" s="11">
        <f t="shared" si="90"/>
        <v>0</v>
      </c>
      <c r="Y156" s="11">
        <f t="shared" si="91"/>
        <v>0</v>
      </c>
      <c r="Z156" s="12">
        <f t="shared" si="92"/>
        <v>0</v>
      </c>
      <c r="AA156" s="11">
        <f t="shared" si="93"/>
        <v>0</v>
      </c>
      <c r="AB156" s="11">
        <f t="shared" si="94"/>
        <v>0</v>
      </c>
      <c r="AC156" s="11">
        <f t="shared" si="95"/>
        <v>0</v>
      </c>
      <c r="AD156" s="11">
        <f t="shared" si="96"/>
        <v>0</v>
      </c>
      <c r="AE156" s="13">
        <f t="shared" si="97"/>
        <v>0</v>
      </c>
      <c r="AF156" s="13">
        <f t="shared" si="98"/>
        <v>0</v>
      </c>
      <c r="AG156" s="11">
        <f t="shared" si="99"/>
        <v>0</v>
      </c>
      <c r="AH156" s="14" t="str">
        <f t="shared" si="68"/>
        <v>InvalidSymbolDetails</v>
      </c>
      <c r="AI156" s="12">
        <f t="shared" si="100"/>
        <v>0</v>
      </c>
    </row>
    <row r="157" spans="1:35" x14ac:dyDescent="0.25">
      <c r="A157" s="9"/>
      <c r="B157" s="9"/>
      <c r="C157" s="10" t="str">
        <f t="shared" si="69"/>
        <v/>
      </c>
      <c r="D157" s="11">
        <f t="shared" si="70"/>
        <v>0</v>
      </c>
      <c r="E157" s="11">
        <f t="shared" si="71"/>
        <v>0</v>
      </c>
      <c r="F157" s="11">
        <f t="shared" si="72"/>
        <v>0</v>
      </c>
      <c r="G157" s="12">
        <f t="shared" si="73"/>
        <v>0</v>
      </c>
      <c r="H157" s="11">
        <f t="shared" si="74"/>
        <v>0</v>
      </c>
      <c r="I157" s="11">
        <f t="shared" si="75"/>
        <v>0</v>
      </c>
      <c r="J157" s="12">
        <f t="shared" si="76"/>
        <v>0</v>
      </c>
      <c r="K157" s="11">
        <f t="shared" si="77"/>
        <v>0</v>
      </c>
      <c r="L157" s="12">
        <f t="shared" si="78"/>
        <v>0</v>
      </c>
      <c r="M157" s="12">
        <f t="shared" si="79"/>
        <v>0</v>
      </c>
      <c r="N157" s="11">
        <f t="shared" si="80"/>
        <v>0</v>
      </c>
      <c r="O157" s="12">
        <f t="shared" si="81"/>
        <v>0</v>
      </c>
      <c r="P157" s="11">
        <f t="shared" si="82"/>
        <v>0</v>
      </c>
      <c r="Q157" s="12">
        <f t="shared" si="83"/>
        <v>0</v>
      </c>
      <c r="R157" s="11">
        <f t="shared" si="84"/>
        <v>0</v>
      </c>
      <c r="S157" s="12">
        <f t="shared" si="85"/>
        <v>0</v>
      </c>
      <c r="T157" s="12">
        <f t="shared" si="86"/>
        <v>0</v>
      </c>
      <c r="U157" s="12">
        <f t="shared" si="87"/>
        <v>0</v>
      </c>
      <c r="V157" s="11">
        <f t="shared" si="88"/>
        <v>0</v>
      </c>
      <c r="W157" s="11">
        <f t="shared" si="89"/>
        <v>0</v>
      </c>
      <c r="X157" s="11">
        <f t="shared" si="90"/>
        <v>0</v>
      </c>
      <c r="Y157" s="11">
        <f t="shared" si="91"/>
        <v>0</v>
      </c>
      <c r="Z157" s="12">
        <f t="shared" si="92"/>
        <v>0</v>
      </c>
      <c r="AA157" s="11">
        <f t="shared" si="93"/>
        <v>0</v>
      </c>
      <c r="AB157" s="11">
        <f t="shared" si="94"/>
        <v>0</v>
      </c>
      <c r="AC157" s="11">
        <f t="shared" si="95"/>
        <v>0</v>
      </c>
      <c r="AD157" s="11">
        <f t="shared" si="96"/>
        <v>0</v>
      </c>
      <c r="AE157" s="13">
        <f t="shared" si="97"/>
        <v>0</v>
      </c>
      <c r="AF157" s="13">
        <f t="shared" si="98"/>
        <v>0</v>
      </c>
      <c r="AG157" s="11">
        <f t="shared" si="99"/>
        <v>0</v>
      </c>
      <c r="AH157" s="14" t="str">
        <f t="shared" si="68"/>
        <v>InvalidSymbolDetails</v>
      </c>
      <c r="AI157" s="12">
        <f t="shared" si="100"/>
        <v>0</v>
      </c>
    </row>
    <row r="158" spans="1:35" x14ac:dyDescent="0.25">
      <c r="A158" s="9"/>
      <c r="B158" s="9"/>
      <c r="C158" s="10" t="str">
        <f t="shared" si="69"/>
        <v/>
      </c>
      <c r="D158" s="11">
        <f t="shared" si="70"/>
        <v>0</v>
      </c>
      <c r="E158" s="11">
        <f t="shared" si="71"/>
        <v>0</v>
      </c>
      <c r="F158" s="11">
        <f t="shared" si="72"/>
        <v>0</v>
      </c>
      <c r="G158" s="12">
        <f t="shared" si="73"/>
        <v>0</v>
      </c>
      <c r="H158" s="11">
        <f t="shared" si="74"/>
        <v>0</v>
      </c>
      <c r="I158" s="11">
        <f t="shared" si="75"/>
        <v>0</v>
      </c>
      <c r="J158" s="12">
        <f t="shared" si="76"/>
        <v>0</v>
      </c>
      <c r="K158" s="11">
        <f t="shared" si="77"/>
        <v>0</v>
      </c>
      <c r="L158" s="12">
        <f t="shared" si="78"/>
        <v>0</v>
      </c>
      <c r="M158" s="12">
        <f t="shared" si="79"/>
        <v>0</v>
      </c>
      <c r="N158" s="11">
        <f t="shared" si="80"/>
        <v>0</v>
      </c>
      <c r="O158" s="12">
        <f t="shared" si="81"/>
        <v>0</v>
      </c>
      <c r="P158" s="11">
        <f t="shared" si="82"/>
        <v>0</v>
      </c>
      <c r="Q158" s="12">
        <f t="shared" si="83"/>
        <v>0</v>
      </c>
      <c r="R158" s="11">
        <f t="shared" si="84"/>
        <v>0</v>
      </c>
      <c r="S158" s="12">
        <f t="shared" si="85"/>
        <v>0</v>
      </c>
      <c r="T158" s="12">
        <f t="shared" si="86"/>
        <v>0</v>
      </c>
      <c r="U158" s="12">
        <f t="shared" si="87"/>
        <v>0</v>
      </c>
      <c r="V158" s="11">
        <f t="shared" si="88"/>
        <v>0</v>
      </c>
      <c r="W158" s="11">
        <f t="shared" si="89"/>
        <v>0</v>
      </c>
      <c r="X158" s="11">
        <f t="shared" si="90"/>
        <v>0</v>
      </c>
      <c r="Y158" s="11">
        <f t="shared" si="91"/>
        <v>0</v>
      </c>
      <c r="Z158" s="12">
        <f t="shared" si="92"/>
        <v>0</v>
      </c>
      <c r="AA158" s="11">
        <f t="shared" si="93"/>
        <v>0</v>
      </c>
      <c r="AB158" s="11">
        <f t="shared" si="94"/>
        <v>0</v>
      </c>
      <c r="AC158" s="11">
        <f t="shared" si="95"/>
        <v>0</v>
      </c>
      <c r="AD158" s="11">
        <f t="shared" si="96"/>
        <v>0</v>
      </c>
      <c r="AE158" s="13">
        <f t="shared" si="97"/>
        <v>0</v>
      </c>
      <c r="AF158" s="13">
        <f t="shared" si="98"/>
        <v>0</v>
      </c>
      <c r="AG158" s="11">
        <f t="shared" si="99"/>
        <v>0</v>
      </c>
      <c r="AH158" s="14" t="str">
        <f t="shared" si="68"/>
        <v>InvalidSymbolDetails</v>
      </c>
      <c r="AI158" s="12">
        <f t="shared" si="100"/>
        <v>0</v>
      </c>
    </row>
    <row r="159" spans="1:35" x14ac:dyDescent="0.25">
      <c r="A159" s="9"/>
      <c r="B159" s="9"/>
      <c r="C159" s="10" t="str">
        <f t="shared" si="69"/>
        <v/>
      </c>
      <c r="D159" s="11">
        <f t="shared" si="70"/>
        <v>0</v>
      </c>
      <c r="E159" s="11">
        <f t="shared" si="71"/>
        <v>0</v>
      </c>
      <c r="F159" s="11">
        <f t="shared" si="72"/>
        <v>0</v>
      </c>
      <c r="G159" s="12">
        <f t="shared" si="73"/>
        <v>0</v>
      </c>
      <c r="H159" s="11">
        <f t="shared" si="74"/>
        <v>0</v>
      </c>
      <c r="I159" s="11">
        <f t="shared" si="75"/>
        <v>0</v>
      </c>
      <c r="J159" s="12">
        <f t="shared" si="76"/>
        <v>0</v>
      </c>
      <c r="K159" s="11">
        <f t="shared" si="77"/>
        <v>0</v>
      </c>
      <c r="L159" s="12">
        <f t="shared" si="78"/>
        <v>0</v>
      </c>
      <c r="M159" s="12">
        <f t="shared" si="79"/>
        <v>0</v>
      </c>
      <c r="N159" s="11">
        <f t="shared" si="80"/>
        <v>0</v>
      </c>
      <c r="O159" s="12">
        <f t="shared" si="81"/>
        <v>0</v>
      </c>
      <c r="P159" s="11">
        <f t="shared" si="82"/>
        <v>0</v>
      </c>
      <c r="Q159" s="12">
        <f t="shared" si="83"/>
        <v>0</v>
      </c>
      <c r="R159" s="11">
        <f t="shared" si="84"/>
        <v>0</v>
      </c>
      <c r="S159" s="12">
        <f t="shared" si="85"/>
        <v>0</v>
      </c>
      <c r="T159" s="12">
        <f t="shared" si="86"/>
        <v>0</v>
      </c>
      <c r="U159" s="12">
        <f t="shared" si="87"/>
        <v>0</v>
      </c>
      <c r="V159" s="11">
        <f t="shared" si="88"/>
        <v>0</v>
      </c>
      <c r="W159" s="11">
        <f t="shared" si="89"/>
        <v>0</v>
      </c>
      <c r="X159" s="11">
        <f t="shared" si="90"/>
        <v>0</v>
      </c>
      <c r="Y159" s="11">
        <f t="shared" si="91"/>
        <v>0</v>
      </c>
      <c r="Z159" s="12">
        <f t="shared" si="92"/>
        <v>0</v>
      </c>
      <c r="AA159" s="11">
        <f t="shared" si="93"/>
        <v>0</v>
      </c>
      <c r="AB159" s="11">
        <f t="shared" si="94"/>
        <v>0</v>
      </c>
      <c r="AC159" s="11">
        <f t="shared" si="95"/>
        <v>0</v>
      </c>
      <c r="AD159" s="11">
        <f t="shared" si="96"/>
        <v>0</v>
      </c>
      <c r="AE159" s="13">
        <f t="shared" si="97"/>
        <v>0</v>
      </c>
      <c r="AF159" s="13">
        <f t="shared" si="98"/>
        <v>0</v>
      </c>
      <c r="AG159" s="11">
        <f t="shared" si="99"/>
        <v>0</v>
      </c>
      <c r="AH159" s="14" t="str">
        <f t="shared" si="68"/>
        <v>InvalidSymbolDetails</v>
      </c>
      <c r="AI159" s="12">
        <f t="shared" si="100"/>
        <v>0</v>
      </c>
    </row>
    <row r="160" spans="1:35" x14ac:dyDescent="0.25">
      <c r="A160" s="9"/>
      <c r="B160" s="9"/>
      <c r="C160" s="10" t="str">
        <f t="shared" si="69"/>
        <v/>
      </c>
      <c r="D160" s="11">
        <f t="shared" si="70"/>
        <v>0</v>
      </c>
      <c r="E160" s="11">
        <f t="shared" si="71"/>
        <v>0</v>
      </c>
      <c r="F160" s="11">
        <f t="shared" si="72"/>
        <v>0</v>
      </c>
      <c r="G160" s="12">
        <f t="shared" si="73"/>
        <v>0</v>
      </c>
      <c r="H160" s="11">
        <f t="shared" si="74"/>
        <v>0</v>
      </c>
      <c r="I160" s="11">
        <f t="shared" si="75"/>
        <v>0</v>
      </c>
      <c r="J160" s="12">
        <f t="shared" si="76"/>
        <v>0</v>
      </c>
      <c r="K160" s="11">
        <f t="shared" si="77"/>
        <v>0</v>
      </c>
      <c r="L160" s="12">
        <f t="shared" si="78"/>
        <v>0</v>
      </c>
      <c r="M160" s="12">
        <f t="shared" si="79"/>
        <v>0</v>
      </c>
      <c r="N160" s="11">
        <f t="shared" si="80"/>
        <v>0</v>
      </c>
      <c r="O160" s="12">
        <f t="shared" si="81"/>
        <v>0</v>
      </c>
      <c r="P160" s="11">
        <f t="shared" si="82"/>
        <v>0</v>
      </c>
      <c r="Q160" s="12">
        <f t="shared" si="83"/>
        <v>0</v>
      </c>
      <c r="R160" s="11">
        <f t="shared" si="84"/>
        <v>0</v>
      </c>
      <c r="S160" s="12">
        <f t="shared" si="85"/>
        <v>0</v>
      </c>
      <c r="T160" s="12">
        <f t="shared" si="86"/>
        <v>0</v>
      </c>
      <c r="U160" s="12">
        <f t="shared" si="87"/>
        <v>0</v>
      </c>
      <c r="V160" s="11">
        <f t="shared" si="88"/>
        <v>0</v>
      </c>
      <c r="W160" s="11">
        <f t="shared" si="89"/>
        <v>0</v>
      </c>
      <c r="X160" s="11">
        <f t="shared" si="90"/>
        <v>0</v>
      </c>
      <c r="Y160" s="11">
        <f t="shared" si="91"/>
        <v>0</v>
      </c>
      <c r="Z160" s="12">
        <f t="shared" si="92"/>
        <v>0</v>
      </c>
      <c r="AA160" s="11">
        <f t="shared" si="93"/>
        <v>0</v>
      </c>
      <c r="AB160" s="11">
        <f t="shared" si="94"/>
        <v>0</v>
      </c>
      <c r="AC160" s="11">
        <f t="shared" si="95"/>
        <v>0</v>
      </c>
      <c r="AD160" s="11">
        <f t="shared" si="96"/>
        <v>0</v>
      </c>
      <c r="AE160" s="13">
        <f t="shared" si="97"/>
        <v>0</v>
      </c>
      <c r="AF160" s="13">
        <f t="shared" si="98"/>
        <v>0</v>
      </c>
      <c r="AG160" s="11">
        <f t="shared" si="99"/>
        <v>0</v>
      </c>
      <c r="AH160" s="14" t="str">
        <f t="shared" si="68"/>
        <v>InvalidSymbolDetails</v>
      </c>
      <c r="AI160" s="12">
        <f t="shared" si="100"/>
        <v>0</v>
      </c>
    </row>
    <row r="161" spans="1:35" x14ac:dyDescent="0.25">
      <c r="A161" s="9"/>
      <c r="B161" s="9"/>
      <c r="C161" s="10" t="str">
        <f t="shared" si="69"/>
        <v/>
      </c>
      <c r="D161" s="11">
        <f t="shared" si="70"/>
        <v>0</v>
      </c>
      <c r="E161" s="11">
        <f t="shared" si="71"/>
        <v>0</v>
      </c>
      <c r="F161" s="11">
        <f t="shared" si="72"/>
        <v>0</v>
      </c>
      <c r="G161" s="12">
        <f t="shared" si="73"/>
        <v>0</v>
      </c>
      <c r="H161" s="11">
        <f t="shared" si="74"/>
        <v>0</v>
      </c>
      <c r="I161" s="11">
        <f t="shared" si="75"/>
        <v>0</v>
      </c>
      <c r="J161" s="12">
        <f t="shared" si="76"/>
        <v>0</v>
      </c>
      <c r="K161" s="11">
        <f t="shared" si="77"/>
        <v>0</v>
      </c>
      <c r="L161" s="12">
        <f t="shared" si="78"/>
        <v>0</v>
      </c>
      <c r="M161" s="12">
        <f t="shared" si="79"/>
        <v>0</v>
      </c>
      <c r="N161" s="11">
        <f t="shared" si="80"/>
        <v>0</v>
      </c>
      <c r="O161" s="12">
        <f t="shared" si="81"/>
        <v>0</v>
      </c>
      <c r="P161" s="11">
        <f t="shared" si="82"/>
        <v>0</v>
      </c>
      <c r="Q161" s="12">
        <f t="shared" si="83"/>
        <v>0</v>
      </c>
      <c r="R161" s="11">
        <f t="shared" si="84"/>
        <v>0</v>
      </c>
      <c r="S161" s="12">
        <f t="shared" si="85"/>
        <v>0</v>
      </c>
      <c r="T161" s="12">
        <f t="shared" si="86"/>
        <v>0</v>
      </c>
      <c r="U161" s="12">
        <f t="shared" si="87"/>
        <v>0</v>
      </c>
      <c r="V161" s="11">
        <f t="shared" si="88"/>
        <v>0</v>
      </c>
      <c r="W161" s="11">
        <f t="shared" si="89"/>
        <v>0</v>
      </c>
      <c r="X161" s="11">
        <f t="shared" si="90"/>
        <v>0</v>
      </c>
      <c r="Y161" s="11">
        <f t="shared" si="91"/>
        <v>0</v>
      </c>
      <c r="Z161" s="12">
        <f t="shared" si="92"/>
        <v>0</v>
      </c>
      <c r="AA161" s="11">
        <f t="shared" si="93"/>
        <v>0</v>
      </c>
      <c r="AB161" s="11">
        <f t="shared" si="94"/>
        <v>0</v>
      </c>
      <c r="AC161" s="11">
        <f t="shared" si="95"/>
        <v>0</v>
      </c>
      <c r="AD161" s="11">
        <f t="shared" si="96"/>
        <v>0</v>
      </c>
      <c r="AE161" s="13">
        <f t="shared" si="97"/>
        <v>0</v>
      </c>
      <c r="AF161" s="13">
        <f t="shared" si="98"/>
        <v>0</v>
      </c>
      <c r="AG161" s="11">
        <f t="shared" si="99"/>
        <v>0</v>
      </c>
      <c r="AH161" s="14" t="str">
        <f t="shared" si="68"/>
        <v>InvalidSymbolDetails</v>
      </c>
      <c r="AI161" s="12">
        <f t="shared" si="100"/>
        <v>0</v>
      </c>
    </row>
    <row r="162" spans="1:35" x14ac:dyDescent="0.25">
      <c r="A162" s="9"/>
      <c r="B162" s="9"/>
      <c r="C162" s="10" t="str">
        <f t="shared" si="69"/>
        <v/>
      </c>
      <c r="D162" s="11">
        <f t="shared" si="70"/>
        <v>0</v>
      </c>
      <c r="E162" s="11">
        <f t="shared" si="71"/>
        <v>0</v>
      </c>
      <c r="F162" s="11">
        <f t="shared" si="72"/>
        <v>0</v>
      </c>
      <c r="G162" s="12">
        <f t="shared" si="73"/>
        <v>0</v>
      </c>
      <c r="H162" s="11">
        <f t="shared" si="74"/>
        <v>0</v>
      </c>
      <c r="I162" s="11">
        <f t="shared" si="75"/>
        <v>0</v>
      </c>
      <c r="J162" s="12">
        <f t="shared" si="76"/>
        <v>0</v>
      </c>
      <c r="K162" s="11">
        <f t="shared" si="77"/>
        <v>0</v>
      </c>
      <c r="L162" s="12">
        <f t="shared" si="78"/>
        <v>0</v>
      </c>
      <c r="M162" s="12">
        <f t="shared" si="79"/>
        <v>0</v>
      </c>
      <c r="N162" s="11">
        <f t="shared" si="80"/>
        <v>0</v>
      </c>
      <c r="O162" s="12">
        <f t="shared" si="81"/>
        <v>0</v>
      </c>
      <c r="P162" s="11">
        <f t="shared" si="82"/>
        <v>0</v>
      </c>
      <c r="Q162" s="12">
        <f t="shared" si="83"/>
        <v>0</v>
      </c>
      <c r="R162" s="11">
        <f t="shared" si="84"/>
        <v>0</v>
      </c>
      <c r="S162" s="12">
        <f t="shared" si="85"/>
        <v>0</v>
      </c>
      <c r="T162" s="12">
        <f t="shared" si="86"/>
        <v>0</v>
      </c>
      <c r="U162" s="12">
        <f t="shared" si="87"/>
        <v>0</v>
      </c>
      <c r="V162" s="11">
        <f t="shared" si="88"/>
        <v>0</v>
      </c>
      <c r="W162" s="11">
        <f t="shared" si="89"/>
        <v>0</v>
      </c>
      <c r="X162" s="11">
        <f t="shared" si="90"/>
        <v>0</v>
      </c>
      <c r="Y162" s="11">
        <f t="shared" si="91"/>
        <v>0</v>
      </c>
      <c r="Z162" s="12">
        <f t="shared" si="92"/>
        <v>0</v>
      </c>
      <c r="AA162" s="11">
        <f t="shared" si="93"/>
        <v>0</v>
      </c>
      <c r="AB162" s="11">
        <f t="shared" si="94"/>
        <v>0</v>
      </c>
      <c r="AC162" s="11">
        <f t="shared" si="95"/>
        <v>0</v>
      </c>
      <c r="AD162" s="11">
        <f t="shared" si="96"/>
        <v>0</v>
      </c>
      <c r="AE162" s="13">
        <f t="shared" si="97"/>
        <v>0</v>
      </c>
      <c r="AF162" s="13">
        <f t="shared" si="98"/>
        <v>0</v>
      </c>
      <c r="AG162" s="11">
        <f t="shared" si="99"/>
        <v>0</v>
      </c>
      <c r="AH162" s="14" t="str">
        <f t="shared" ref="AH162:AH193" si="101">SubscribeQuotes(A162,B162)</f>
        <v>InvalidSymbolDetails</v>
      </c>
      <c r="AI162" s="12">
        <f t="shared" si="100"/>
        <v>0</v>
      </c>
    </row>
    <row r="163" spans="1:35" x14ac:dyDescent="0.25">
      <c r="A163" s="9"/>
      <c r="B163" s="9"/>
      <c r="C163" s="10" t="str">
        <f t="shared" si="69"/>
        <v/>
      </c>
      <c r="D163" s="11">
        <f t="shared" si="70"/>
        <v>0</v>
      </c>
      <c r="E163" s="11">
        <f t="shared" si="71"/>
        <v>0</v>
      </c>
      <c r="F163" s="11">
        <f t="shared" si="72"/>
        <v>0</v>
      </c>
      <c r="G163" s="12">
        <f t="shared" si="73"/>
        <v>0</v>
      </c>
      <c r="H163" s="11">
        <f t="shared" si="74"/>
        <v>0</v>
      </c>
      <c r="I163" s="11">
        <f t="shared" si="75"/>
        <v>0</v>
      </c>
      <c r="J163" s="12">
        <f t="shared" si="76"/>
        <v>0</v>
      </c>
      <c r="K163" s="11">
        <f t="shared" si="77"/>
        <v>0</v>
      </c>
      <c r="L163" s="12">
        <f t="shared" si="78"/>
        <v>0</v>
      </c>
      <c r="M163" s="12">
        <f t="shared" si="79"/>
        <v>0</v>
      </c>
      <c r="N163" s="11">
        <f t="shared" si="80"/>
        <v>0</v>
      </c>
      <c r="O163" s="12">
        <f t="shared" si="81"/>
        <v>0</v>
      </c>
      <c r="P163" s="11">
        <f t="shared" si="82"/>
        <v>0</v>
      </c>
      <c r="Q163" s="12">
        <f t="shared" si="83"/>
        <v>0</v>
      </c>
      <c r="R163" s="11">
        <f t="shared" si="84"/>
        <v>0</v>
      </c>
      <c r="S163" s="12">
        <f t="shared" si="85"/>
        <v>0</v>
      </c>
      <c r="T163" s="12">
        <f t="shared" si="86"/>
        <v>0</v>
      </c>
      <c r="U163" s="12">
        <f t="shared" si="87"/>
        <v>0</v>
      </c>
      <c r="V163" s="11">
        <f t="shared" si="88"/>
        <v>0</v>
      </c>
      <c r="W163" s="11">
        <f t="shared" si="89"/>
        <v>0</v>
      </c>
      <c r="X163" s="11">
        <f t="shared" si="90"/>
        <v>0</v>
      </c>
      <c r="Y163" s="11">
        <f t="shared" si="91"/>
        <v>0</v>
      </c>
      <c r="Z163" s="12">
        <f t="shared" si="92"/>
        <v>0</v>
      </c>
      <c r="AA163" s="11">
        <f t="shared" si="93"/>
        <v>0</v>
      </c>
      <c r="AB163" s="11">
        <f t="shared" si="94"/>
        <v>0</v>
      </c>
      <c r="AC163" s="11">
        <f t="shared" si="95"/>
        <v>0</v>
      </c>
      <c r="AD163" s="11">
        <f t="shared" si="96"/>
        <v>0</v>
      </c>
      <c r="AE163" s="13">
        <f t="shared" si="97"/>
        <v>0</v>
      </c>
      <c r="AF163" s="13">
        <f t="shared" si="98"/>
        <v>0</v>
      </c>
      <c r="AG163" s="11">
        <f t="shared" si="99"/>
        <v>0</v>
      </c>
      <c r="AH163" s="14" t="str">
        <f t="shared" si="101"/>
        <v>InvalidSymbolDetails</v>
      </c>
      <c r="AI163" s="12">
        <f t="shared" si="100"/>
        <v>0</v>
      </c>
    </row>
    <row r="164" spans="1:35" x14ac:dyDescent="0.25">
      <c r="A164" s="9"/>
      <c r="B164" s="9"/>
      <c r="C164" s="10" t="str">
        <f t="shared" si="69"/>
        <v/>
      </c>
      <c r="D164" s="11">
        <f t="shared" si="70"/>
        <v>0</v>
      </c>
      <c r="E164" s="11">
        <f t="shared" si="71"/>
        <v>0</v>
      </c>
      <c r="F164" s="11">
        <f t="shared" si="72"/>
        <v>0</v>
      </c>
      <c r="G164" s="12">
        <f t="shared" si="73"/>
        <v>0</v>
      </c>
      <c r="H164" s="11">
        <f t="shared" si="74"/>
        <v>0</v>
      </c>
      <c r="I164" s="11">
        <f t="shared" si="75"/>
        <v>0</v>
      </c>
      <c r="J164" s="12">
        <f t="shared" si="76"/>
        <v>0</v>
      </c>
      <c r="K164" s="11">
        <f t="shared" si="77"/>
        <v>0</v>
      </c>
      <c r="L164" s="12">
        <f t="shared" si="78"/>
        <v>0</v>
      </c>
      <c r="M164" s="12">
        <f t="shared" si="79"/>
        <v>0</v>
      </c>
      <c r="N164" s="11">
        <f t="shared" si="80"/>
        <v>0</v>
      </c>
      <c r="O164" s="12">
        <f t="shared" si="81"/>
        <v>0</v>
      </c>
      <c r="P164" s="11">
        <f t="shared" si="82"/>
        <v>0</v>
      </c>
      <c r="Q164" s="12">
        <f t="shared" si="83"/>
        <v>0</v>
      </c>
      <c r="R164" s="11">
        <f t="shared" si="84"/>
        <v>0</v>
      </c>
      <c r="S164" s="12">
        <f t="shared" si="85"/>
        <v>0</v>
      </c>
      <c r="T164" s="12">
        <f t="shared" si="86"/>
        <v>0</v>
      </c>
      <c r="U164" s="12">
        <f t="shared" si="87"/>
        <v>0</v>
      </c>
      <c r="V164" s="11">
        <f t="shared" si="88"/>
        <v>0</v>
      </c>
      <c r="W164" s="11">
        <f t="shared" si="89"/>
        <v>0</v>
      </c>
      <c r="X164" s="11">
        <f t="shared" si="90"/>
        <v>0</v>
      </c>
      <c r="Y164" s="11">
        <f t="shared" si="91"/>
        <v>0</v>
      </c>
      <c r="Z164" s="12">
        <f t="shared" si="92"/>
        <v>0</v>
      </c>
      <c r="AA164" s="11">
        <f t="shared" si="93"/>
        <v>0</v>
      </c>
      <c r="AB164" s="11">
        <f t="shared" si="94"/>
        <v>0</v>
      </c>
      <c r="AC164" s="11">
        <f t="shared" si="95"/>
        <v>0</v>
      </c>
      <c r="AD164" s="11">
        <f t="shared" si="96"/>
        <v>0</v>
      </c>
      <c r="AE164" s="13">
        <f t="shared" si="97"/>
        <v>0</v>
      </c>
      <c r="AF164" s="13">
        <f t="shared" si="98"/>
        <v>0</v>
      </c>
      <c r="AG164" s="11">
        <f t="shared" si="99"/>
        <v>0</v>
      </c>
      <c r="AH164" s="14" t="str">
        <f t="shared" si="101"/>
        <v>InvalidSymbolDetails</v>
      </c>
      <c r="AI164" s="12">
        <f t="shared" si="100"/>
        <v>0</v>
      </c>
    </row>
    <row r="165" spans="1:35" x14ac:dyDescent="0.25">
      <c r="A165" s="9"/>
      <c r="B165" s="9"/>
      <c r="C165" s="10" t="str">
        <f t="shared" si="69"/>
        <v/>
      </c>
      <c r="D165" s="11">
        <f t="shared" si="70"/>
        <v>0</v>
      </c>
      <c r="E165" s="11">
        <f t="shared" si="71"/>
        <v>0</v>
      </c>
      <c r="F165" s="11">
        <f t="shared" si="72"/>
        <v>0</v>
      </c>
      <c r="G165" s="12">
        <f t="shared" si="73"/>
        <v>0</v>
      </c>
      <c r="H165" s="11">
        <f t="shared" si="74"/>
        <v>0</v>
      </c>
      <c r="I165" s="11">
        <f t="shared" si="75"/>
        <v>0</v>
      </c>
      <c r="J165" s="12">
        <f t="shared" si="76"/>
        <v>0</v>
      </c>
      <c r="K165" s="11">
        <f t="shared" si="77"/>
        <v>0</v>
      </c>
      <c r="L165" s="12">
        <f t="shared" si="78"/>
        <v>0</v>
      </c>
      <c r="M165" s="12">
        <f t="shared" si="79"/>
        <v>0</v>
      </c>
      <c r="N165" s="11">
        <f t="shared" si="80"/>
        <v>0</v>
      </c>
      <c r="O165" s="12">
        <f t="shared" si="81"/>
        <v>0</v>
      </c>
      <c r="P165" s="11">
        <f t="shared" si="82"/>
        <v>0</v>
      </c>
      <c r="Q165" s="12">
        <f t="shared" si="83"/>
        <v>0</v>
      </c>
      <c r="R165" s="11">
        <f t="shared" si="84"/>
        <v>0</v>
      </c>
      <c r="S165" s="12">
        <f t="shared" si="85"/>
        <v>0</v>
      </c>
      <c r="T165" s="12">
        <f t="shared" si="86"/>
        <v>0</v>
      </c>
      <c r="U165" s="12">
        <f t="shared" si="87"/>
        <v>0</v>
      </c>
      <c r="V165" s="11">
        <f t="shared" si="88"/>
        <v>0</v>
      </c>
      <c r="W165" s="11">
        <f t="shared" si="89"/>
        <v>0</v>
      </c>
      <c r="X165" s="11">
        <f t="shared" si="90"/>
        <v>0</v>
      </c>
      <c r="Y165" s="11">
        <f t="shared" si="91"/>
        <v>0</v>
      </c>
      <c r="Z165" s="12">
        <f t="shared" si="92"/>
        <v>0</v>
      </c>
      <c r="AA165" s="11">
        <f t="shared" si="93"/>
        <v>0</v>
      </c>
      <c r="AB165" s="11">
        <f t="shared" si="94"/>
        <v>0</v>
      </c>
      <c r="AC165" s="11">
        <f t="shared" si="95"/>
        <v>0</v>
      </c>
      <c r="AD165" s="11">
        <f t="shared" si="96"/>
        <v>0</v>
      </c>
      <c r="AE165" s="13">
        <f t="shared" si="97"/>
        <v>0</v>
      </c>
      <c r="AF165" s="13">
        <f t="shared" si="98"/>
        <v>0</v>
      </c>
      <c r="AG165" s="11">
        <f t="shared" si="99"/>
        <v>0</v>
      </c>
      <c r="AH165" s="14" t="str">
        <f t="shared" si="101"/>
        <v>InvalidSymbolDetails</v>
      </c>
      <c r="AI165" s="12">
        <f t="shared" si="100"/>
        <v>0</v>
      </c>
    </row>
    <row r="166" spans="1:35" x14ac:dyDescent="0.25">
      <c r="A166" s="9"/>
      <c r="B166" s="9"/>
      <c r="C166" s="10" t="str">
        <f t="shared" si="69"/>
        <v/>
      </c>
      <c r="D166" s="11">
        <f t="shared" si="70"/>
        <v>0</v>
      </c>
      <c r="E166" s="11">
        <f t="shared" si="71"/>
        <v>0</v>
      </c>
      <c r="F166" s="11">
        <f t="shared" si="72"/>
        <v>0</v>
      </c>
      <c r="G166" s="12">
        <f t="shared" si="73"/>
        <v>0</v>
      </c>
      <c r="H166" s="11">
        <f t="shared" si="74"/>
        <v>0</v>
      </c>
      <c r="I166" s="11">
        <f t="shared" si="75"/>
        <v>0</v>
      </c>
      <c r="J166" s="12">
        <f t="shared" si="76"/>
        <v>0</v>
      </c>
      <c r="K166" s="11">
        <f t="shared" si="77"/>
        <v>0</v>
      </c>
      <c r="L166" s="12">
        <f t="shared" si="78"/>
        <v>0</v>
      </c>
      <c r="M166" s="12">
        <f t="shared" si="79"/>
        <v>0</v>
      </c>
      <c r="N166" s="11">
        <f t="shared" si="80"/>
        <v>0</v>
      </c>
      <c r="O166" s="12">
        <f t="shared" si="81"/>
        <v>0</v>
      </c>
      <c r="P166" s="11">
        <f t="shared" si="82"/>
        <v>0</v>
      </c>
      <c r="Q166" s="12">
        <f t="shared" si="83"/>
        <v>0</v>
      </c>
      <c r="R166" s="11">
        <f t="shared" si="84"/>
        <v>0</v>
      </c>
      <c r="S166" s="12">
        <f t="shared" si="85"/>
        <v>0</v>
      </c>
      <c r="T166" s="12">
        <f t="shared" si="86"/>
        <v>0</v>
      </c>
      <c r="U166" s="12">
        <f t="shared" si="87"/>
        <v>0</v>
      </c>
      <c r="V166" s="11">
        <f t="shared" si="88"/>
        <v>0</v>
      </c>
      <c r="W166" s="11">
        <f t="shared" si="89"/>
        <v>0</v>
      </c>
      <c r="X166" s="11">
        <f t="shared" si="90"/>
        <v>0</v>
      </c>
      <c r="Y166" s="11">
        <f t="shared" si="91"/>
        <v>0</v>
      </c>
      <c r="Z166" s="12">
        <f t="shared" si="92"/>
        <v>0</v>
      </c>
      <c r="AA166" s="11">
        <f t="shared" si="93"/>
        <v>0</v>
      </c>
      <c r="AB166" s="11">
        <f t="shared" si="94"/>
        <v>0</v>
      </c>
      <c r="AC166" s="11">
        <f t="shared" si="95"/>
        <v>0</v>
      </c>
      <c r="AD166" s="11">
        <f t="shared" si="96"/>
        <v>0</v>
      </c>
      <c r="AE166" s="13">
        <f t="shared" si="97"/>
        <v>0</v>
      </c>
      <c r="AF166" s="13">
        <f t="shared" si="98"/>
        <v>0</v>
      </c>
      <c r="AG166" s="11">
        <f t="shared" si="99"/>
        <v>0</v>
      </c>
      <c r="AH166" s="14" t="str">
        <f t="shared" si="101"/>
        <v>InvalidSymbolDetails</v>
      </c>
      <c r="AI166" s="12">
        <f t="shared" si="100"/>
        <v>0</v>
      </c>
    </row>
    <row r="167" spans="1:35" x14ac:dyDescent="0.25">
      <c r="A167" s="9"/>
      <c r="B167" s="9"/>
      <c r="C167" s="10" t="str">
        <f t="shared" si="69"/>
        <v/>
      </c>
      <c r="D167" s="11">
        <f t="shared" si="70"/>
        <v>0</v>
      </c>
      <c r="E167" s="11">
        <f t="shared" si="71"/>
        <v>0</v>
      </c>
      <c r="F167" s="11">
        <f t="shared" si="72"/>
        <v>0</v>
      </c>
      <c r="G167" s="12">
        <f t="shared" si="73"/>
        <v>0</v>
      </c>
      <c r="H167" s="11">
        <f t="shared" si="74"/>
        <v>0</v>
      </c>
      <c r="I167" s="11">
        <f t="shared" si="75"/>
        <v>0</v>
      </c>
      <c r="J167" s="12">
        <f t="shared" si="76"/>
        <v>0</v>
      </c>
      <c r="K167" s="11">
        <f t="shared" si="77"/>
        <v>0</v>
      </c>
      <c r="L167" s="12">
        <f t="shared" si="78"/>
        <v>0</v>
      </c>
      <c r="M167" s="12">
        <f t="shared" si="79"/>
        <v>0</v>
      </c>
      <c r="N167" s="11">
        <f t="shared" si="80"/>
        <v>0</v>
      </c>
      <c r="O167" s="12">
        <f t="shared" si="81"/>
        <v>0</v>
      </c>
      <c r="P167" s="11">
        <f t="shared" si="82"/>
        <v>0</v>
      </c>
      <c r="Q167" s="12">
        <f t="shared" si="83"/>
        <v>0</v>
      </c>
      <c r="R167" s="11">
        <f t="shared" si="84"/>
        <v>0</v>
      </c>
      <c r="S167" s="12">
        <f t="shared" si="85"/>
        <v>0</v>
      </c>
      <c r="T167" s="12">
        <f t="shared" si="86"/>
        <v>0</v>
      </c>
      <c r="U167" s="12">
        <f t="shared" si="87"/>
        <v>0</v>
      </c>
      <c r="V167" s="11">
        <f t="shared" si="88"/>
        <v>0</v>
      </c>
      <c r="W167" s="11">
        <f t="shared" si="89"/>
        <v>0</v>
      </c>
      <c r="X167" s="11">
        <f t="shared" si="90"/>
        <v>0</v>
      </c>
      <c r="Y167" s="11">
        <f t="shared" si="91"/>
        <v>0</v>
      </c>
      <c r="Z167" s="12">
        <f t="shared" si="92"/>
        <v>0</v>
      </c>
      <c r="AA167" s="11">
        <f t="shared" si="93"/>
        <v>0</v>
      </c>
      <c r="AB167" s="11">
        <f t="shared" si="94"/>
        <v>0</v>
      </c>
      <c r="AC167" s="11">
        <f t="shared" si="95"/>
        <v>0</v>
      </c>
      <c r="AD167" s="11">
        <f t="shared" si="96"/>
        <v>0</v>
      </c>
      <c r="AE167" s="13">
        <f t="shared" si="97"/>
        <v>0</v>
      </c>
      <c r="AF167" s="13">
        <f t="shared" si="98"/>
        <v>0</v>
      </c>
      <c r="AG167" s="11">
        <f t="shared" si="99"/>
        <v>0</v>
      </c>
      <c r="AH167" s="14" t="str">
        <f t="shared" si="101"/>
        <v>InvalidSymbolDetails</v>
      </c>
      <c r="AI167" s="12">
        <f t="shared" si="100"/>
        <v>0</v>
      </c>
    </row>
    <row r="168" spans="1:35" x14ac:dyDescent="0.25">
      <c r="A168" s="9"/>
      <c r="B168" s="9"/>
      <c r="C168" s="10" t="str">
        <f t="shared" si="69"/>
        <v/>
      </c>
      <c r="D168" s="11">
        <f t="shared" si="70"/>
        <v>0</v>
      </c>
      <c r="E168" s="11">
        <f t="shared" si="71"/>
        <v>0</v>
      </c>
      <c r="F168" s="11">
        <f t="shared" si="72"/>
        <v>0</v>
      </c>
      <c r="G168" s="12">
        <f t="shared" si="73"/>
        <v>0</v>
      </c>
      <c r="H168" s="11">
        <f t="shared" si="74"/>
        <v>0</v>
      </c>
      <c r="I168" s="11">
        <f t="shared" si="75"/>
        <v>0</v>
      </c>
      <c r="J168" s="12">
        <f t="shared" si="76"/>
        <v>0</v>
      </c>
      <c r="K168" s="11">
        <f t="shared" si="77"/>
        <v>0</v>
      </c>
      <c r="L168" s="12">
        <f t="shared" si="78"/>
        <v>0</v>
      </c>
      <c r="M168" s="12">
        <f t="shared" si="79"/>
        <v>0</v>
      </c>
      <c r="N168" s="11">
        <f t="shared" si="80"/>
        <v>0</v>
      </c>
      <c r="O168" s="12">
        <f t="shared" si="81"/>
        <v>0</v>
      </c>
      <c r="P168" s="11">
        <f t="shared" si="82"/>
        <v>0</v>
      </c>
      <c r="Q168" s="12">
        <f t="shared" si="83"/>
        <v>0</v>
      </c>
      <c r="R168" s="11">
        <f t="shared" si="84"/>
        <v>0</v>
      </c>
      <c r="S168" s="12">
        <f t="shared" si="85"/>
        <v>0</v>
      </c>
      <c r="T168" s="12">
        <f t="shared" si="86"/>
        <v>0</v>
      </c>
      <c r="U168" s="12">
        <f t="shared" si="87"/>
        <v>0</v>
      </c>
      <c r="V168" s="11">
        <f t="shared" si="88"/>
        <v>0</v>
      </c>
      <c r="W168" s="11">
        <f t="shared" si="89"/>
        <v>0</v>
      </c>
      <c r="X168" s="11">
        <f t="shared" si="90"/>
        <v>0</v>
      </c>
      <c r="Y168" s="11">
        <f t="shared" si="91"/>
        <v>0</v>
      </c>
      <c r="Z168" s="12">
        <f t="shared" si="92"/>
        <v>0</v>
      </c>
      <c r="AA168" s="11">
        <f t="shared" si="93"/>
        <v>0</v>
      </c>
      <c r="AB168" s="11">
        <f t="shared" si="94"/>
        <v>0</v>
      </c>
      <c r="AC168" s="11">
        <f t="shared" si="95"/>
        <v>0</v>
      </c>
      <c r="AD168" s="11">
        <f t="shared" si="96"/>
        <v>0</v>
      </c>
      <c r="AE168" s="13">
        <f t="shared" si="97"/>
        <v>0</v>
      </c>
      <c r="AF168" s="13">
        <f t="shared" si="98"/>
        <v>0</v>
      </c>
      <c r="AG168" s="11">
        <f t="shared" si="99"/>
        <v>0</v>
      </c>
      <c r="AH168" s="14" t="str">
        <f t="shared" si="101"/>
        <v>InvalidSymbolDetails</v>
      </c>
      <c r="AI168" s="12">
        <f t="shared" si="100"/>
        <v>0</v>
      </c>
    </row>
    <row r="169" spans="1:35" x14ac:dyDescent="0.25">
      <c r="A169" s="9"/>
      <c r="B169" s="9"/>
      <c r="C169" s="10" t="str">
        <f t="shared" si="69"/>
        <v/>
      </c>
      <c r="D169" s="11">
        <f t="shared" si="70"/>
        <v>0</v>
      </c>
      <c r="E169" s="11">
        <f t="shared" si="71"/>
        <v>0</v>
      </c>
      <c r="F169" s="11">
        <f t="shared" si="72"/>
        <v>0</v>
      </c>
      <c r="G169" s="12">
        <f t="shared" si="73"/>
        <v>0</v>
      </c>
      <c r="H169" s="11">
        <f t="shared" si="74"/>
        <v>0</v>
      </c>
      <c r="I169" s="11">
        <f t="shared" si="75"/>
        <v>0</v>
      </c>
      <c r="J169" s="12">
        <f t="shared" si="76"/>
        <v>0</v>
      </c>
      <c r="K169" s="11">
        <f t="shared" si="77"/>
        <v>0</v>
      </c>
      <c r="L169" s="12">
        <f t="shared" si="78"/>
        <v>0</v>
      </c>
      <c r="M169" s="12">
        <f t="shared" si="79"/>
        <v>0</v>
      </c>
      <c r="N169" s="11">
        <f t="shared" si="80"/>
        <v>0</v>
      </c>
      <c r="O169" s="12">
        <f t="shared" si="81"/>
        <v>0</v>
      </c>
      <c r="P169" s="11">
        <f t="shared" si="82"/>
        <v>0</v>
      </c>
      <c r="Q169" s="12">
        <f t="shared" si="83"/>
        <v>0</v>
      </c>
      <c r="R169" s="11">
        <f t="shared" si="84"/>
        <v>0</v>
      </c>
      <c r="S169" s="12">
        <f t="shared" si="85"/>
        <v>0</v>
      </c>
      <c r="T169" s="12">
        <f t="shared" si="86"/>
        <v>0</v>
      </c>
      <c r="U169" s="12">
        <f t="shared" si="87"/>
        <v>0</v>
      </c>
      <c r="V169" s="11">
        <f t="shared" si="88"/>
        <v>0</v>
      </c>
      <c r="W169" s="11">
        <f t="shared" si="89"/>
        <v>0</v>
      </c>
      <c r="X169" s="11">
        <f t="shared" si="90"/>
        <v>0</v>
      </c>
      <c r="Y169" s="11">
        <f t="shared" si="91"/>
        <v>0</v>
      </c>
      <c r="Z169" s="12">
        <f t="shared" si="92"/>
        <v>0</v>
      </c>
      <c r="AA169" s="11">
        <f t="shared" si="93"/>
        <v>0</v>
      </c>
      <c r="AB169" s="11">
        <f t="shared" si="94"/>
        <v>0</v>
      </c>
      <c r="AC169" s="11">
        <f t="shared" si="95"/>
        <v>0</v>
      </c>
      <c r="AD169" s="11">
        <f t="shared" si="96"/>
        <v>0</v>
      </c>
      <c r="AE169" s="13">
        <f t="shared" si="97"/>
        <v>0</v>
      </c>
      <c r="AF169" s="13">
        <f t="shared" si="98"/>
        <v>0</v>
      </c>
      <c r="AG169" s="11">
        <f t="shared" si="99"/>
        <v>0</v>
      </c>
      <c r="AH169" s="14" t="str">
        <f t="shared" si="101"/>
        <v>InvalidSymbolDetails</v>
      </c>
      <c r="AI169" s="12">
        <f t="shared" si="100"/>
        <v>0</v>
      </c>
    </row>
    <row r="170" spans="1:35" x14ac:dyDescent="0.25">
      <c r="A170" s="9"/>
      <c r="B170" s="9"/>
      <c r="C170" s="10" t="str">
        <f t="shared" si="69"/>
        <v/>
      </c>
      <c r="D170" s="11">
        <f t="shared" si="70"/>
        <v>0</v>
      </c>
      <c r="E170" s="11">
        <f t="shared" si="71"/>
        <v>0</v>
      </c>
      <c r="F170" s="11">
        <f t="shared" si="72"/>
        <v>0</v>
      </c>
      <c r="G170" s="12">
        <f t="shared" si="73"/>
        <v>0</v>
      </c>
      <c r="H170" s="11">
        <f t="shared" si="74"/>
        <v>0</v>
      </c>
      <c r="I170" s="11">
        <f t="shared" si="75"/>
        <v>0</v>
      </c>
      <c r="J170" s="12">
        <f t="shared" si="76"/>
        <v>0</v>
      </c>
      <c r="K170" s="11">
        <f t="shared" si="77"/>
        <v>0</v>
      </c>
      <c r="L170" s="12">
        <f t="shared" si="78"/>
        <v>0</v>
      </c>
      <c r="M170" s="12">
        <f t="shared" si="79"/>
        <v>0</v>
      </c>
      <c r="N170" s="11">
        <f t="shared" si="80"/>
        <v>0</v>
      </c>
      <c r="O170" s="12">
        <f t="shared" si="81"/>
        <v>0</v>
      </c>
      <c r="P170" s="11">
        <f t="shared" si="82"/>
        <v>0</v>
      </c>
      <c r="Q170" s="12">
        <f t="shared" si="83"/>
        <v>0</v>
      </c>
      <c r="R170" s="11">
        <f t="shared" si="84"/>
        <v>0</v>
      </c>
      <c r="S170" s="12">
        <f t="shared" si="85"/>
        <v>0</v>
      </c>
      <c r="T170" s="12">
        <f t="shared" si="86"/>
        <v>0</v>
      </c>
      <c r="U170" s="12">
        <f t="shared" si="87"/>
        <v>0</v>
      </c>
      <c r="V170" s="11">
        <f t="shared" si="88"/>
        <v>0</v>
      </c>
      <c r="W170" s="11">
        <f t="shared" si="89"/>
        <v>0</v>
      </c>
      <c r="X170" s="11">
        <f t="shared" si="90"/>
        <v>0</v>
      </c>
      <c r="Y170" s="11">
        <f t="shared" si="91"/>
        <v>0</v>
      </c>
      <c r="Z170" s="12">
        <f t="shared" si="92"/>
        <v>0</v>
      </c>
      <c r="AA170" s="11">
        <f t="shared" si="93"/>
        <v>0</v>
      </c>
      <c r="AB170" s="11">
        <f t="shared" si="94"/>
        <v>0</v>
      </c>
      <c r="AC170" s="11">
        <f t="shared" si="95"/>
        <v>0</v>
      </c>
      <c r="AD170" s="11">
        <f t="shared" si="96"/>
        <v>0</v>
      </c>
      <c r="AE170" s="13">
        <f t="shared" si="97"/>
        <v>0</v>
      </c>
      <c r="AF170" s="13">
        <f t="shared" si="98"/>
        <v>0</v>
      </c>
      <c r="AG170" s="11">
        <f t="shared" si="99"/>
        <v>0</v>
      </c>
      <c r="AH170" s="14" t="str">
        <f t="shared" si="101"/>
        <v>InvalidSymbolDetails</v>
      </c>
      <c r="AI170" s="12">
        <f t="shared" si="100"/>
        <v>0</v>
      </c>
    </row>
    <row r="171" spans="1:35" x14ac:dyDescent="0.25">
      <c r="A171" s="9"/>
      <c r="B171" s="9"/>
      <c r="C171" s="10" t="str">
        <f t="shared" si="69"/>
        <v/>
      </c>
      <c r="D171" s="11">
        <f t="shared" si="70"/>
        <v>0</v>
      </c>
      <c r="E171" s="11">
        <f t="shared" si="71"/>
        <v>0</v>
      </c>
      <c r="F171" s="11">
        <f t="shared" si="72"/>
        <v>0</v>
      </c>
      <c r="G171" s="12">
        <f t="shared" si="73"/>
        <v>0</v>
      </c>
      <c r="H171" s="11">
        <f t="shared" si="74"/>
        <v>0</v>
      </c>
      <c r="I171" s="11">
        <f t="shared" si="75"/>
        <v>0</v>
      </c>
      <c r="J171" s="12">
        <f t="shared" si="76"/>
        <v>0</v>
      </c>
      <c r="K171" s="11">
        <f t="shared" si="77"/>
        <v>0</v>
      </c>
      <c r="L171" s="12">
        <f t="shared" si="78"/>
        <v>0</v>
      </c>
      <c r="M171" s="12">
        <f t="shared" si="79"/>
        <v>0</v>
      </c>
      <c r="N171" s="11">
        <f t="shared" si="80"/>
        <v>0</v>
      </c>
      <c r="O171" s="12">
        <f t="shared" si="81"/>
        <v>0</v>
      </c>
      <c r="P171" s="11">
        <f t="shared" si="82"/>
        <v>0</v>
      </c>
      <c r="Q171" s="12">
        <f t="shared" si="83"/>
        <v>0</v>
      </c>
      <c r="R171" s="11">
        <f t="shared" si="84"/>
        <v>0</v>
      </c>
      <c r="S171" s="12">
        <f t="shared" si="85"/>
        <v>0</v>
      </c>
      <c r="T171" s="12">
        <f t="shared" si="86"/>
        <v>0</v>
      </c>
      <c r="U171" s="12">
        <f t="shared" si="87"/>
        <v>0</v>
      </c>
      <c r="V171" s="11">
        <f t="shared" si="88"/>
        <v>0</v>
      </c>
      <c r="W171" s="11">
        <f t="shared" si="89"/>
        <v>0</v>
      </c>
      <c r="X171" s="11">
        <f t="shared" si="90"/>
        <v>0</v>
      </c>
      <c r="Y171" s="11">
        <f t="shared" si="91"/>
        <v>0</v>
      </c>
      <c r="Z171" s="12">
        <f t="shared" si="92"/>
        <v>0</v>
      </c>
      <c r="AA171" s="11">
        <f t="shared" si="93"/>
        <v>0</v>
      </c>
      <c r="AB171" s="11">
        <f t="shared" si="94"/>
        <v>0</v>
      </c>
      <c r="AC171" s="11">
        <f t="shared" si="95"/>
        <v>0</v>
      </c>
      <c r="AD171" s="11">
        <f t="shared" si="96"/>
        <v>0</v>
      </c>
      <c r="AE171" s="13">
        <f t="shared" si="97"/>
        <v>0</v>
      </c>
      <c r="AF171" s="13">
        <f t="shared" si="98"/>
        <v>0</v>
      </c>
      <c r="AG171" s="11">
        <f t="shared" si="99"/>
        <v>0</v>
      </c>
      <c r="AH171" s="14" t="str">
        <f t="shared" si="101"/>
        <v>InvalidSymbolDetails</v>
      </c>
      <c r="AI171" s="12">
        <f t="shared" si="100"/>
        <v>0</v>
      </c>
    </row>
    <row r="172" spans="1:35" x14ac:dyDescent="0.25">
      <c r="A172" s="9"/>
      <c r="B172" s="9"/>
      <c r="C172" s="10" t="str">
        <f t="shared" si="69"/>
        <v/>
      </c>
      <c r="D172" s="11">
        <f t="shared" si="70"/>
        <v>0</v>
      </c>
      <c r="E172" s="11">
        <f t="shared" si="71"/>
        <v>0</v>
      </c>
      <c r="F172" s="11">
        <f t="shared" si="72"/>
        <v>0</v>
      </c>
      <c r="G172" s="12">
        <f t="shared" si="73"/>
        <v>0</v>
      </c>
      <c r="H172" s="11">
        <f t="shared" si="74"/>
        <v>0</v>
      </c>
      <c r="I172" s="11">
        <f t="shared" si="75"/>
        <v>0</v>
      </c>
      <c r="J172" s="12">
        <f t="shared" si="76"/>
        <v>0</v>
      </c>
      <c r="K172" s="11">
        <f t="shared" si="77"/>
        <v>0</v>
      </c>
      <c r="L172" s="12">
        <f t="shared" si="78"/>
        <v>0</v>
      </c>
      <c r="M172" s="12">
        <f t="shared" si="79"/>
        <v>0</v>
      </c>
      <c r="N172" s="11">
        <f t="shared" si="80"/>
        <v>0</v>
      </c>
      <c r="O172" s="12">
        <f t="shared" si="81"/>
        <v>0</v>
      </c>
      <c r="P172" s="11">
        <f t="shared" si="82"/>
        <v>0</v>
      </c>
      <c r="Q172" s="12">
        <f t="shared" si="83"/>
        <v>0</v>
      </c>
      <c r="R172" s="11">
        <f t="shared" si="84"/>
        <v>0</v>
      </c>
      <c r="S172" s="12">
        <f t="shared" si="85"/>
        <v>0</v>
      </c>
      <c r="T172" s="12">
        <f t="shared" si="86"/>
        <v>0</v>
      </c>
      <c r="U172" s="12">
        <f t="shared" si="87"/>
        <v>0</v>
      </c>
      <c r="V172" s="11">
        <f t="shared" si="88"/>
        <v>0</v>
      </c>
      <c r="W172" s="11">
        <f t="shared" si="89"/>
        <v>0</v>
      </c>
      <c r="X172" s="11">
        <f t="shared" si="90"/>
        <v>0</v>
      </c>
      <c r="Y172" s="11">
        <f t="shared" si="91"/>
        <v>0</v>
      </c>
      <c r="Z172" s="12">
        <f t="shared" si="92"/>
        <v>0</v>
      </c>
      <c r="AA172" s="11">
        <f t="shared" si="93"/>
        <v>0</v>
      </c>
      <c r="AB172" s="11">
        <f t="shared" si="94"/>
        <v>0</v>
      </c>
      <c r="AC172" s="11">
        <f t="shared" si="95"/>
        <v>0</v>
      </c>
      <c r="AD172" s="11">
        <f t="shared" si="96"/>
        <v>0</v>
      </c>
      <c r="AE172" s="13">
        <f t="shared" si="97"/>
        <v>0</v>
      </c>
      <c r="AF172" s="13">
        <f t="shared" si="98"/>
        <v>0</v>
      </c>
      <c r="AG172" s="11">
        <f t="shared" si="99"/>
        <v>0</v>
      </c>
      <c r="AH172" s="14" t="str">
        <f t="shared" si="101"/>
        <v>InvalidSymbolDetails</v>
      </c>
      <c r="AI172" s="12">
        <f t="shared" si="100"/>
        <v>0</v>
      </c>
    </row>
    <row r="173" spans="1:35" x14ac:dyDescent="0.25">
      <c r="A173" s="9"/>
      <c r="B173" s="9"/>
      <c r="C173" s="10" t="str">
        <f t="shared" si="69"/>
        <v/>
      </c>
      <c r="D173" s="11">
        <f t="shared" si="70"/>
        <v>0</v>
      </c>
      <c r="E173" s="11">
        <f t="shared" si="71"/>
        <v>0</v>
      </c>
      <c r="F173" s="11">
        <f t="shared" si="72"/>
        <v>0</v>
      </c>
      <c r="G173" s="12">
        <f t="shared" si="73"/>
        <v>0</v>
      </c>
      <c r="H173" s="11">
        <f t="shared" si="74"/>
        <v>0</v>
      </c>
      <c r="I173" s="11">
        <f t="shared" si="75"/>
        <v>0</v>
      </c>
      <c r="J173" s="12">
        <f t="shared" si="76"/>
        <v>0</v>
      </c>
      <c r="K173" s="11">
        <f t="shared" si="77"/>
        <v>0</v>
      </c>
      <c r="L173" s="12">
        <f t="shared" si="78"/>
        <v>0</v>
      </c>
      <c r="M173" s="12">
        <f t="shared" si="79"/>
        <v>0</v>
      </c>
      <c r="N173" s="11">
        <f t="shared" si="80"/>
        <v>0</v>
      </c>
      <c r="O173" s="12">
        <f t="shared" si="81"/>
        <v>0</v>
      </c>
      <c r="P173" s="11">
        <f t="shared" si="82"/>
        <v>0</v>
      </c>
      <c r="Q173" s="12">
        <f t="shared" si="83"/>
        <v>0</v>
      </c>
      <c r="R173" s="11">
        <f t="shared" si="84"/>
        <v>0</v>
      </c>
      <c r="S173" s="12">
        <f t="shared" si="85"/>
        <v>0</v>
      </c>
      <c r="T173" s="12">
        <f t="shared" si="86"/>
        <v>0</v>
      </c>
      <c r="U173" s="12">
        <f t="shared" si="87"/>
        <v>0</v>
      </c>
      <c r="V173" s="11">
        <f t="shared" si="88"/>
        <v>0</v>
      </c>
      <c r="W173" s="11">
        <f t="shared" si="89"/>
        <v>0</v>
      </c>
      <c r="X173" s="11">
        <f t="shared" si="90"/>
        <v>0</v>
      </c>
      <c r="Y173" s="11">
        <f t="shared" si="91"/>
        <v>0</v>
      </c>
      <c r="Z173" s="12">
        <f t="shared" si="92"/>
        <v>0</v>
      </c>
      <c r="AA173" s="11">
        <f t="shared" si="93"/>
        <v>0</v>
      </c>
      <c r="AB173" s="11">
        <f t="shared" si="94"/>
        <v>0</v>
      </c>
      <c r="AC173" s="11">
        <f t="shared" si="95"/>
        <v>0</v>
      </c>
      <c r="AD173" s="11">
        <f t="shared" si="96"/>
        <v>0</v>
      </c>
      <c r="AE173" s="13">
        <f t="shared" si="97"/>
        <v>0</v>
      </c>
      <c r="AF173" s="13">
        <f t="shared" si="98"/>
        <v>0</v>
      </c>
      <c r="AG173" s="11">
        <f t="shared" si="99"/>
        <v>0</v>
      </c>
      <c r="AH173" s="14" t="str">
        <f t="shared" si="101"/>
        <v>InvalidSymbolDetails</v>
      </c>
      <c r="AI173" s="12">
        <f t="shared" si="100"/>
        <v>0</v>
      </c>
    </row>
    <row r="174" spans="1:35" x14ac:dyDescent="0.25">
      <c r="A174" s="9"/>
      <c r="B174" s="9"/>
      <c r="C174" s="10" t="str">
        <f t="shared" si="69"/>
        <v/>
      </c>
      <c r="D174" s="11">
        <f t="shared" si="70"/>
        <v>0</v>
      </c>
      <c r="E174" s="11">
        <f t="shared" si="71"/>
        <v>0</v>
      </c>
      <c r="F174" s="11">
        <f t="shared" si="72"/>
        <v>0</v>
      </c>
      <c r="G174" s="12">
        <f t="shared" si="73"/>
        <v>0</v>
      </c>
      <c r="H174" s="11">
        <f t="shared" si="74"/>
        <v>0</v>
      </c>
      <c r="I174" s="11">
        <f t="shared" si="75"/>
        <v>0</v>
      </c>
      <c r="J174" s="12">
        <f t="shared" si="76"/>
        <v>0</v>
      </c>
      <c r="K174" s="11">
        <f t="shared" si="77"/>
        <v>0</v>
      </c>
      <c r="L174" s="12">
        <f t="shared" si="78"/>
        <v>0</v>
      </c>
      <c r="M174" s="12">
        <f t="shared" si="79"/>
        <v>0</v>
      </c>
      <c r="N174" s="11">
        <f t="shared" si="80"/>
        <v>0</v>
      </c>
      <c r="O174" s="12">
        <f t="shared" si="81"/>
        <v>0</v>
      </c>
      <c r="P174" s="11">
        <f t="shared" si="82"/>
        <v>0</v>
      </c>
      <c r="Q174" s="12">
        <f t="shared" si="83"/>
        <v>0</v>
      </c>
      <c r="R174" s="11">
        <f t="shared" si="84"/>
        <v>0</v>
      </c>
      <c r="S174" s="12">
        <f t="shared" si="85"/>
        <v>0</v>
      </c>
      <c r="T174" s="12">
        <f t="shared" si="86"/>
        <v>0</v>
      </c>
      <c r="U174" s="12">
        <f t="shared" si="87"/>
        <v>0</v>
      </c>
      <c r="V174" s="11">
        <f t="shared" si="88"/>
        <v>0</v>
      </c>
      <c r="W174" s="11">
        <f t="shared" si="89"/>
        <v>0</v>
      </c>
      <c r="X174" s="11">
        <f t="shared" si="90"/>
        <v>0</v>
      </c>
      <c r="Y174" s="11">
        <f t="shared" si="91"/>
        <v>0</v>
      </c>
      <c r="Z174" s="12">
        <f t="shared" si="92"/>
        <v>0</v>
      </c>
      <c r="AA174" s="11">
        <f t="shared" si="93"/>
        <v>0</v>
      </c>
      <c r="AB174" s="11">
        <f t="shared" si="94"/>
        <v>0</v>
      </c>
      <c r="AC174" s="11">
        <f t="shared" si="95"/>
        <v>0</v>
      </c>
      <c r="AD174" s="11">
        <f t="shared" si="96"/>
        <v>0</v>
      </c>
      <c r="AE174" s="13">
        <f t="shared" si="97"/>
        <v>0</v>
      </c>
      <c r="AF174" s="13">
        <f t="shared" si="98"/>
        <v>0</v>
      </c>
      <c r="AG174" s="11">
        <f t="shared" si="99"/>
        <v>0</v>
      </c>
      <c r="AH174" s="14" t="str">
        <f t="shared" si="101"/>
        <v>InvalidSymbolDetails</v>
      </c>
      <c r="AI174" s="12">
        <f t="shared" si="100"/>
        <v>0</v>
      </c>
    </row>
    <row r="175" spans="1:35" x14ac:dyDescent="0.25">
      <c r="A175" s="9"/>
      <c r="B175" s="9"/>
      <c r="C175" s="10" t="str">
        <f t="shared" si="69"/>
        <v/>
      </c>
      <c r="D175" s="11">
        <f t="shared" si="70"/>
        <v>0</v>
      </c>
      <c r="E175" s="11">
        <f t="shared" si="71"/>
        <v>0</v>
      </c>
      <c r="F175" s="11">
        <f t="shared" si="72"/>
        <v>0</v>
      </c>
      <c r="G175" s="12">
        <f t="shared" si="73"/>
        <v>0</v>
      </c>
      <c r="H175" s="11">
        <f t="shared" si="74"/>
        <v>0</v>
      </c>
      <c r="I175" s="11">
        <f t="shared" si="75"/>
        <v>0</v>
      </c>
      <c r="J175" s="12">
        <f t="shared" si="76"/>
        <v>0</v>
      </c>
      <c r="K175" s="11">
        <f t="shared" si="77"/>
        <v>0</v>
      </c>
      <c r="L175" s="12">
        <f t="shared" si="78"/>
        <v>0</v>
      </c>
      <c r="M175" s="12">
        <f t="shared" si="79"/>
        <v>0</v>
      </c>
      <c r="N175" s="11">
        <f t="shared" si="80"/>
        <v>0</v>
      </c>
      <c r="O175" s="12">
        <f t="shared" si="81"/>
        <v>0</v>
      </c>
      <c r="P175" s="11">
        <f t="shared" si="82"/>
        <v>0</v>
      </c>
      <c r="Q175" s="12">
        <f t="shared" si="83"/>
        <v>0</v>
      </c>
      <c r="R175" s="11">
        <f t="shared" si="84"/>
        <v>0</v>
      </c>
      <c r="S175" s="12">
        <f t="shared" si="85"/>
        <v>0</v>
      </c>
      <c r="T175" s="12">
        <f t="shared" si="86"/>
        <v>0</v>
      </c>
      <c r="U175" s="12">
        <f t="shared" si="87"/>
        <v>0</v>
      </c>
      <c r="V175" s="11">
        <f t="shared" si="88"/>
        <v>0</v>
      </c>
      <c r="W175" s="11">
        <f t="shared" si="89"/>
        <v>0</v>
      </c>
      <c r="X175" s="11">
        <f t="shared" si="90"/>
        <v>0</v>
      </c>
      <c r="Y175" s="11">
        <f t="shared" si="91"/>
        <v>0</v>
      </c>
      <c r="Z175" s="12">
        <f t="shared" si="92"/>
        <v>0</v>
      </c>
      <c r="AA175" s="11">
        <f t="shared" si="93"/>
        <v>0</v>
      </c>
      <c r="AB175" s="11">
        <f t="shared" si="94"/>
        <v>0</v>
      </c>
      <c r="AC175" s="11">
        <f t="shared" si="95"/>
        <v>0</v>
      </c>
      <c r="AD175" s="11">
        <f t="shared" si="96"/>
        <v>0</v>
      </c>
      <c r="AE175" s="13">
        <f t="shared" si="97"/>
        <v>0</v>
      </c>
      <c r="AF175" s="13">
        <f t="shared" si="98"/>
        <v>0</v>
      </c>
      <c r="AG175" s="11">
        <f t="shared" si="99"/>
        <v>0</v>
      </c>
      <c r="AH175" s="14" t="str">
        <f t="shared" si="101"/>
        <v>InvalidSymbolDetails</v>
      </c>
      <c r="AI175" s="12">
        <f t="shared" si="100"/>
        <v>0</v>
      </c>
    </row>
    <row r="176" spans="1:35" x14ac:dyDescent="0.25">
      <c r="A176" s="9"/>
      <c r="B176" s="9"/>
      <c r="C176" s="10" t="str">
        <f t="shared" si="69"/>
        <v/>
      </c>
      <c r="D176" s="11">
        <f t="shared" si="70"/>
        <v>0</v>
      </c>
      <c r="E176" s="11">
        <f t="shared" si="71"/>
        <v>0</v>
      </c>
      <c r="F176" s="11">
        <f t="shared" si="72"/>
        <v>0</v>
      </c>
      <c r="G176" s="12">
        <f t="shared" si="73"/>
        <v>0</v>
      </c>
      <c r="H176" s="11">
        <f t="shared" si="74"/>
        <v>0</v>
      </c>
      <c r="I176" s="11">
        <f t="shared" si="75"/>
        <v>0</v>
      </c>
      <c r="J176" s="12">
        <f t="shared" si="76"/>
        <v>0</v>
      </c>
      <c r="K176" s="11">
        <f t="shared" si="77"/>
        <v>0</v>
      </c>
      <c r="L176" s="12">
        <f t="shared" si="78"/>
        <v>0</v>
      </c>
      <c r="M176" s="12">
        <f t="shared" si="79"/>
        <v>0</v>
      </c>
      <c r="N176" s="11">
        <f t="shared" si="80"/>
        <v>0</v>
      </c>
      <c r="O176" s="12">
        <f t="shared" si="81"/>
        <v>0</v>
      </c>
      <c r="P176" s="11">
        <f t="shared" si="82"/>
        <v>0</v>
      </c>
      <c r="Q176" s="12">
        <f t="shared" si="83"/>
        <v>0</v>
      </c>
      <c r="R176" s="11">
        <f t="shared" si="84"/>
        <v>0</v>
      </c>
      <c r="S176" s="12">
        <f t="shared" si="85"/>
        <v>0</v>
      </c>
      <c r="T176" s="12">
        <f t="shared" si="86"/>
        <v>0</v>
      </c>
      <c r="U176" s="12">
        <f t="shared" si="87"/>
        <v>0</v>
      </c>
      <c r="V176" s="11">
        <f t="shared" si="88"/>
        <v>0</v>
      </c>
      <c r="W176" s="11">
        <f t="shared" si="89"/>
        <v>0</v>
      </c>
      <c r="X176" s="11">
        <f t="shared" si="90"/>
        <v>0</v>
      </c>
      <c r="Y176" s="11">
        <f t="shared" si="91"/>
        <v>0</v>
      </c>
      <c r="Z176" s="12">
        <f t="shared" si="92"/>
        <v>0</v>
      </c>
      <c r="AA176" s="11">
        <f t="shared" si="93"/>
        <v>0</v>
      </c>
      <c r="AB176" s="11">
        <f t="shared" si="94"/>
        <v>0</v>
      </c>
      <c r="AC176" s="11">
        <f t="shared" si="95"/>
        <v>0</v>
      </c>
      <c r="AD176" s="11">
        <f t="shared" si="96"/>
        <v>0</v>
      </c>
      <c r="AE176" s="13">
        <f t="shared" si="97"/>
        <v>0</v>
      </c>
      <c r="AF176" s="13">
        <f t="shared" si="98"/>
        <v>0</v>
      </c>
      <c r="AG176" s="11">
        <f t="shared" si="99"/>
        <v>0</v>
      </c>
      <c r="AH176" s="14" t="str">
        <f t="shared" si="101"/>
        <v>InvalidSymbolDetails</v>
      </c>
      <c r="AI176" s="12">
        <f t="shared" si="100"/>
        <v>0</v>
      </c>
    </row>
    <row r="177" spans="1:35" x14ac:dyDescent="0.25">
      <c r="A177" s="9"/>
      <c r="B177" s="9"/>
      <c r="C177" s="10" t="str">
        <f t="shared" si="69"/>
        <v/>
      </c>
      <c r="D177" s="11">
        <f t="shared" si="70"/>
        <v>0</v>
      </c>
      <c r="E177" s="11">
        <f t="shared" si="71"/>
        <v>0</v>
      </c>
      <c r="F177" s="11">
        <f t="shared" si="72"/>
        <v>0</v>
      </c>
      <c r="G177" s="12">
        <f t="shared" si="73"/>
        <v>0</v>
      </c>
      <c r="H177" s="11">
        <f t="shared" si="74"/>
        <v>0</v>
      </c>
      <c r="I177" s="11">
        <f t="shared" si="75"/>
        <v>0</v>
      </c>
      <c r="J177" s="12">
        <f t="shared" si="76"/>
        <v>0</v>
      </c>
      <c r="K177" s="11">
        <f t="shared" si="77"/>
        <v>0</v>
      </c>
      <c r="L177" s="12">
        <f t="shared" si="78"/>
        <v>0</v>
      </c>
      <c r="M177" s="12">
        <f t="shared" si="79"/>
        <v>0</v>
      </c>
      <c r="N177" s="11">
        <f t="shared" si="80"/>
        <v>0</v>
      </c>
      <c r="O177" s="12">
        <f t="shared" si="81"/>
        <v>0</v>
      </c>
      <c r="P177" s="11">
        <f t="shared" si="82"/>
        <v>0</v>
      </c>
      <c r="Q177" s="12">
        <f t="shared" si="83"/>
        <v>0</v>
      </c>
      <c r="R177" s="11">
        <f t="shared" si="84"/>
        <v>0</v>
      </c>
      <c r="S177" s="12">
        <f t="shared" si="85"/>
        <v>0</v>
      </c>
      <c r="T177" s="12">
        <f t="shared" si="86"/>
        <v>0</v>
      </c>
      <c r="U177" s="12">
        <f t="shared" si="87"/>
        <v>0</v>
      </c>
      <c r="V177" s="11">
        <f t="shared" si="88"/>
        <v>0</v>
      </c>
      <c r="W177" s="11">
        <f t="shared" si="89"/>
        <v>0</v>
      </c>
      <c r="X177" s="11">
        <f t="shared" si="90"/>
        <v>0</v>
      </c>
      <c r="Y177" s="11">
        <f t="shared" si="91"/>
        <v>0</v>
      </c>
      <c r="Z177" s="12">
        <f t="shared" si="92"/>
        <v>0</v>
      </c>
      <c r="AA177" s="11">
        <f t="shared" si="93"/>
        <v>0</v>
      </c>
      <c r="AB177" s="11">
        <f t="shared" si="94"/>
        <v>0</v>
      </c>
      <c r="AC177" s="11">
        <f t="shared" si="95"/>
        <v>0</v>
      </c>
      <c r="AD177" s="11">
        <f t="shared" si="96"/>
        <v>0</v>
      </c>
      <c r="AE177" s="13">
        <f t="shared" si="97"/>
        <v>0</v>
      </c>
      <c r="AF177" s="13">
        <f t="shared" si="98"/>
        <v>0</v>
      </c>
      <c r="AG177" s="11">
        <f t="shared" si="99"/>
        <v>0</v>
      </c>
      <c r="AH177" s="14" t="str">
        <f t="shared" si="101"/>
        <v>InvalidSymbolDetails</v>
      </c>
      <c r="AI177" s="12">
        <f t="shared" si="100"/>
        <v>0</v>
      </c>
    </row>
    <row r="178" spans="1:35" x14ac:dyDescent="0.25">
      <c r="A178" s="9"/>
      <c r="B178" s="9"/>
      <c r="C178" s="10" t="str">
        <f t="shared" si="69"/>
        <v/>
      </c>
      <c r="D178" s="11">
        <f t="shared" si="70"/>
        <v>0</v>
      </c>
      <c r="E178" s="11">
        <f t="shared" si="71"/>
        <v>0</v>
      </c>
      <c r="F178" s="11">
        <f t="shared" si="72"/>
        <v>0</v>
      </c>
      <c r="G178" s="12">
        <f t="shared" si="73"/>
        <v>0</v>
      </c>
      <c r="H178" s="11">
        <f t="shared" si="74"/>
        <v>0</v>
      </c>
      <c r="I178" s="11">
        <f t="shared" si="75"/>
        <v>0</v>
      </c>
      <c r="J178" s="12">
        <f t="shared" si="76"/>
        <v>0</v>
      </c>
      <c r="K178" s="11">
        <f t="shared" si="77"/>
        <v>0</v>
      </c>
      <c r="L178" s="12">
        <f t="shared" si="78"/>
        <v>0</v>
      </c>
      <c r="M178" s="12">
        <f t="shared" si="79"/>
        <v>0</v>
      </c>
      <c r="N178" s="11">
        <f t="shared" si="80"/>
        <v>0</v>
      </c>
      <c r="O178" s="12">
        <f t="shared" si="81"/>
        <v>0</v>
      </c>
      <c r="P178" s="11">
        <f t="shared" si="82"/>
        <v>0</v>
      </c>
      <c r="Q178" s="12">
        <f t="shared" si="83"/>
        <v>0</v>
      </c>
      <c r="R178" s="11">
        <f t="shared" si="84"/>
        <v>0</v>
      </c>
      <c r="S178" s="12">
        <f t="shared" si="85"/>
        <v>0</v>
      </c>
      <c r="T178" s="12">
        <f t="shared" si="86"/>
        <v>0</v>
      </c>
      <c r="U178" s="12">
        <f t="shared" si="87"/>
        <v>0</v>
      </c>
      <c r="V178" s="11">
        <f t="shared" si="88"/>
        <v>0</v>
      </c>
      <c r="W178" s="11">
        <f t="shared" si="89"/>
        <v>0</v>
      </c>
      <c r="X178" s="11">
        <f t="shared" si="90"/>
        <v>0</v>
      </c>
      <c r="Y178" s="11">
        <f t="shared" si="91"/>
        <v>0</v>
      </c>
      <c r="Z178" s="12">
        <f t="shared" si="92"/>
        <v>0</v>
      </c>
      <c r="AA178" s="11">
        <f t="shared" si="93"/>
        <v>0</v>
      </c>
      <c r="AB178" s="11">
        <f t="shared" si="94"/>
        <v>0</v>
      </c>
      <c r="AC178" s="11">
        <f t="shared" si="95"/>
        <v>0</v>
      </c>
      <c r="AD178" s="11">
        <f t="shared" si="96"/>
        <v>0</v>
      </c>
      <c r="AE178" s="13">
        <f t="shared" si="97"/>
        <v>0</v>
      </c>
      <c r="AF178" s="13">
        <f t="shared" si="98"/>
        <v>0</v>
      </c>
      <c r="AG178" s="11">
        <f t="shared" si="99"/>
        <v>0</v>
      </c>
      <c r="AH178" s="14" t="str">
        <f t="shared" si="101"/>
        <v>InvalidSymbolDetails</v>
      </c>
      <c r="AI178" s="12">
        <f t="shared" si="100"/>
        <v>0</v>
      </c>
    </row>
    <row r="179" spans="1:35" x14ac:dyDescent="0.25">
      <c r="A179" s="9"/>
      <c r="B179" s="9"/>
      <c r="C179" s="10" t="str">
        <f t="shared" si="69"/>
        <v/>
      </c>
      <c r="D179" s="11">
        <f t="shared" si="70"/>
        <v>0</v>
      </c>
      <c r="E179" s="11">
        <f t="shared" si="71"/>
        <v>0</v>
      </c>
      <c r="F179" s="11">
        <f t="shared" si="72"/>
        <v>0</v>
      </c>
      <c r="G179" s="12">
        <f t="shared" si="73"/>
        <v>0</v>
      </c>
      <c r="H179" s="11">
        <f t="shared" si="74"/>
        <v>0</v>
      </c>
      <c r="I179" s="11">
        <f t="shared" si="75"/>
        <v>0</v>
      </c>
      <c r="J179" s="12">
        <f t="shared" si="76"/>
        <v>0</v>
      </c>
      <c r="K179" s="11">
        <f t="shared" si="77"/>
        <v>0</v>
      </c>
      <c r="L179" s="12">
        <f t="shared" si="78"/>
        <v>0</v>
      </c>
      <c r="M179" s="12">
        <f t="shared" si="79"/>
        <v>0</v>
      </c>
      <c r="N179" s="11">
        <f t="shared" si="80"/>
        <v>0</v>
      </c>
      <c r="O179" s="12">
        <f t="shared" si="81"/>
        <v>0</v>
      </c>
      <c r="P179" s="11">
        <f t="shared" si="82"/>
        <v>0</v>
      </c>
      <c r="Q179" s="12">
        <f t="shared" si="83"/>
        <v>0</v>
      </c>
      <c r="R179" s="11">
        <f t="shared" si="84"/>
        <v>0</v>
      </c>
      <c r="S179" s="12">
        <f t="shared" si="85"/>
        <v>0</v>
      </c>
      <c r="T179" s="12">
        <f t="shared" si="86"/>
        <v>0</v>
      </c>
      <c r="U179" s="12">
        <f t="shared" si="87"/>
        <v>0</v>
      </c>
      <c r="V179" s="11">
        <f t="shared" si="88"/>
        <v>0</v>
      </c>
      <c r="W179" s="11">
        <f t="shared" si="89"/>
        <v>0</v>
      </c>
      <c r="X179" s="11">
        <f t="shared" si="90"/>
        <v>0</v>
      </c>
      <c r="Y179" s="11">
        <f t="shared" si="91"/>
        <v>0</v>
      </c>
      <c r="Z179" s="12">
        <f t="shared" si="92"/>
        <v>0</v>
      </c>
      <c r="AA179" s="11">
        <f t="shared" si="93"/>
        <v>0</v>
      </c>
      <c r="AB179" s="11">
        <f t="shared" si="94"/>
        <v>0</v>
      </c>
      <c r="AC179" s="11">
        <f t="shared" si="95"/>
        <v>0</v>
      </c>
      <c r="AD179" s="11">
        <f t="shared" si="96"/>
        <v>0</v>
      </c>
      <c r="AE179" s="13">
        <f t="shared" si="97"/>
        <v>0</v>
      </c>
      <c r="AF179" s="13">
        <f t="shared" si="98"/>
        <v>0</v>
      </c>
      <c r="AG179" s="11">
        <f t="shared" si="99"/>
        <v>0</v>
      </c>
      <c r="AH179" s="14" t="str">
        <f t="shared" si="101"/>
        <v>InvalidSymbolDetails</v>
      </c>
      <c r="AI179" s="12">
        <f t="shared" si="100"/>
        <v>0</v>
      </c>
    </row>
    <row r="180" spans="1:35" x14ac:dyDescent="0.25">
      <c r="A180" s="9"/>
      <c r="B180" s="9"/>
      <c r="C180" s="10" t="str">
        <f t="shared" si="69"/>
        <v/>
      </c>
      <c r="D180" s="11">
        <f t="shared" si="70"/>
        <v>0</v>
      </c>
      <c r="E180" s="11">
        <f t="shared" si="71"/>
        <v>0</v>
      </c>
      <c r="F180" s="11">
        <f t="shared" si="72"/>
        <v>0</v>
      </c>
      <c r="G180" s="12">
        <f t="shared" si="73"/>
        <v>0</v>
      </c>
      <c r="H180" s="11">
        <f t="shared" si="74"/>
        <v>0</v>
      </c>
      <c r="I180" s="11">
        <f t="shared" si="75"/>
        <v>0</v>
      </c>
      <c r="J180" s="12">
        <f t="shared" si="76"/>
        <v>0</v>
      </c>
      <c r="K180" s="11">
        <f t="shared" si="77"/>
        <v>0</v>
      </c>
      <c r="L180" s="12">
        <f t="shared" si="78"/>
        <v>0</v>
      </c>
      <c r="M180" s="12">
        <f t="shared" si="79"/>
        <v>0</v>
      </c>
      <c r="N180" s="11">
        <f t="shared" si="80"/>
        <v>0</v>
      </c>
      <c r="O180" s="12">
        <f t="shared" si="81"/>
        <v>0</v>
      </c>
      <c r="P180" s="11">
        <f t="shared" si="82"/>
        <v>0</v>
      </c>
      <c r="Q180" s="12">
        <f t="shared" si="83"/>
        <v>0</v>
      </c>
      <c r="R180" s="11">
        <f t="shared" si="84"/>
        <v>0</v>
      </c>
      <c r="S180" s="12">
        <f t="shared" si="85"/>
        <v>0</v>
      </c>
      <c r="T180" s="12">
        <f t="shared" si="86"/>
        <v>0</v>
      </c>
      <c r="U180" s="12">
        <f t="shared" si="87"/>
        <v>0</v>
      </c>
      <c r="V180" s="11">
        <f t="shared" si="88"/>
        <v>0</v>
      </c>
      <c r="W180" s="11">
        <f t="shared" si="89"/>
        <v>0</v>
      </c>
      <c r="X180" s="11">
        <f t="shared" si="90"/>
        <v>0</v>
      </c>
      <c r="Y180" s="11">
        <f t="shared" si="91"/>
        <v>0</v>
      </c>
      <c r="Z180" s="12">
        <f t="shared" si="92"/>
        <v>0</v>
      </c>
      <c r="AA180" s="11">
        <f t="shared" si="93"/>
        <v>0</v>
      </c>
      <c r="AB180" s="11">
        <f t="shared" si="94"/>
        <v>0</v>
      </c>
      <c r="AC180" s="11">
        <f t="shared" si="95"/>
        <v>0</v>
      </c>
      <c r="AD180" s="11">
        <f t="shared" si="96"/>
        <v>0</v>
      </c>
      <c r="AE180" s="13">
        <f t="shared" si="97"/>
        <v>0</v>
      </c>
      <c r="AF180" s="13">
        <f t="shared" si="98"/>
        <v>0</v>
      </c>
      <c r="AG180" s="11">
        <f t="shared" si="99"/>
        <v>0</v>
      </c>
      <c r="AH180" s="14" t="str">
        <f t="shared" si="101"/>
        <v>InvalidSymbolDetails</v>
      </c>
      <c r="AI180" s="12">
        <f t="shared" si="100"/>
        <v>0</v>
      </c>
    </row>
    <row r="181" spans="1:35" x14ac:dyDescent="0.25">
      <c r="A181" s="9"/>
      <c r="B181" s="9"/>
      <c r="C181" s="10" t="str">
        <f t="shared" si="69"/>
        <v/>
      </c>
      <c r="D181" s="11">
        <f t="shared" si="70"/>
        <v>0</v>
      </c>
      <c r="E181" s="11">
        <f t="shared" si="71"/>
        <v>0</v>
      </c>
      <c r="F181" s="11">
        <f t="shared" si="72"/>
        <v>0</v>
      </c>
      <c r="G181" s="12">
        <f t="shared" si="73"/>
        <v>0</v>
      </c>
      <c r="H181" s="11">
        <f t="shared" si="74"/>
        <v>0</v>
      </c>
      <c r="I181" s="11">
        <f t="shared" si="75"/>
        <v>0</v>
      </c>
      <c r="J181" s="12">
        <f t="shared" si="76"/>
        <v>0</v>
      </c>
      <c r="K181" s="11">
        <f t="shared" si="77"/>
        <v>0</v>
      </c>
      <c r="L181" s="12">
        <f t="shared" si="78"/>
        <v>0</v>
      </c>
      <c r="M181" s="12">
        <f t="shared" si="79"/>
        <v>0</v>
      </c>
      <c r="N181" s="11">
        <f t="shared" si="80"/>
        <v>0</v>
      </c>
      <c r="O181" s="12">
        <f t="shared" si="81"/>
        <v>0</v>
      </c>
      <c r="P181" s="11">
        <f t="shared" si="82"/>
        <v>0</v>
      </c>
      <c r="Q181" s="12">
        <f t="shared" si="83"/>
        <v>0</v>
      </c>
      <c r="R181" s="11">
        <f t="shared" si="84"/>
        <v>0</v>
      </c>
      <c r="S181" s="12">
        <f t="shared" si="85"/>
        <v>0</v>
      </c>
      <c r="T181" s="12">
        <f t="shared" si="86"/>
        <v>0</v>
      </c>
      <c r="U181" s="12">
        <f t="shared" si="87"/>
        <v>0</v>
      </c>
      <c r="V181" s="11">
        <f t="shared" si="88"/>
        <v>0</v>
      </c>
      <c r="W181" s="11">
        <f t="shared" si="89"/>
        <v>0</v>
      </c>
      <c r="X181" s="11">
        <f t="shared" si="90"/>
        <v>0</v>
      </c>
      <c r="Y181" s="11">
        <f t="shared" si="91"/>
        <v>0</v>
      </c>
      <c r="Z181" s="12">
        <f t="shared" si="92"/>
        <v>0</v>
      </c>
      <c r="AA181" s="11">
        <f t="shared" si="93"/>
        <v>0</v>
      </c>
      <c r="AB181" s="11">
        <f t="shared" si="94"/>
        <v>0</v>
      </c>
      <c r="AC181" s="11">
        <f t="shared" si="95"/>
        <v>0</v>
      </c>
      <c r="AD181" s="11">
        <f t="shared" si="96"/>
        <v>0</v>
      </c>
      <c r="AE181" s="13">
        <f t="shared" si="97"/>
        <v>0</v>
      </c>
      <c r="AF181" s="13">
        <f t="shared" si="98"/>
        <v>0</v>
      </c>
      <c r="AG181" s="11">
        <f t="shared" si="99"/>
        <v>0</v>
      </c>
      <c r="AH181" s="14" t="str">
        <f t="shared" si="101"/>
        <v>InvalidSymbolDetails</v>
      </c>
      <c r="AI181" s="12">
        <f t="shared" si="100"/>
        <v>0</v>
      </c>
    </row>
    <row r="182" spans="1:35" x14ac:dyDescent="0.25">
      <c r="A182" s="9"/>
      <c r="B182" s="9"/>
      <c r="C182" s="10" t="str">
        <f t="shared" si="69"/>
        <v/>
      </c>
      <c r="D182" s="11">
        <f t="shared" si="70"/>
        <v>0</v>
      </c>
      <c r="E182" s="11">
        <f t="shared" si="71"/>
        <v>0</v>
      </c>
      <c r="F182" s="11">
        <f t="shared" si="72"/>
        <v>0</v>
      </c>
      <c r="G182" s="12">
        <f t="shared" si="73"/>
        <v>0</v>
      </c>
      <c r="H182" s="11">
        <f t="shared" si="74"/>
        <v>0</v>
      </c>
      <c r="I182" s="11">
        <f t="shared" si="75"/>
        <v>0</v>
      </c>
      <c r="J182" s="12">
        <f t="shared" si="76"/>
        <v>0</v>
      </c>
      <c r="K182" s="11">
        <f t="shared" si="77"/>
        <v>0</v>
      </c>
      <c r="L182" s="12">
        <f t="shared" si="78"/>
        <v>0</v>
      </c>
      <c r="M182" s="12">
        <f t="shared" si="79"/>
        <v>0</v>
      </c>
      <c r="N182" s="11">
        <f t="shared" si="80"/>
        <v>0</v>
      </c>
      <c r="O182" s="12">
        <f t="shared" si="81"/>
        <v>0</v>
      </c>
      <c r="P182" s="11">
        <f t="shared" si="82"/>
        <v>0</v>
      </c>
      <c r="Q182" s="12">
        <f t="shared" si="83"/>
        <v>0</v>
      </c>
      <c r="R182" s="11">
        <f t="shared" si="84"/>
        <v>0</v>
      </c>
      <c r="S182" s="12">
        <f t="shared" si="85"/>
        <v>0</v>
      </c>
      <c r="T182" s="12">
        <f t="shared" si="86"/>
        <v>0</v>
      </c>
      <c r="U182" s="12">
        <f t="shared" si="87"/>
        <v>0</v>
      </c>
      <c r="V182" s="11">
        <f t="shared" si="88"/>
        <v>0</v>
      </c>
      <c r="W182" s="11">
        <f t="shared" si="89"/>
        <v>0</v>
      </c>
      <c r="X182" s="11">
        <f t="shared" si="90"/>
        <v>0</v>
      </c>
      <c r="Y182" s="11">
        <f t="shared" si="91"/>
        <v>0</v>
      </c>
      <c r="Z182" s="12">
        <f t="shared" si="92"/>
        <v>0</v>
      </c>
      <c r="AA182" s="11">
        <f t="shared" si="93"/>
        <v>0</v>
      </c>
      <c r="AB182" s="11">
        <f t="shared" si="94"/>
        <v>0</v>
      </c>
      <c r="AC182" s="11">
        <f t="shared" si="95"/>
        <v>0</v>
      </c>
      <c r="AD182" s="11">
        <f t="shared" si="96"/>
        <v>0</v>
      </c>
      <c r="AE182" s="13">
        <f t="shared" si="97"/>
        <v>0</v>
      </c>
      <c r="AF182" s="13">
        <f t="shared" si="98"/>
        <v>0</v>
      </c>
      <c r="AG182" s="11">
        <f t="shared" si="99"/>
        <v>0</v>
      </c>
      <c r="AH182" s="14" t="str">
        <f t="shared" si="101"/>
        <v>InvalidSymbolDetails</v>
      </c>
      <c r="AI182" s="12">
        <f t="shared" si="100"/>
        <v>0</v>
      </c>
    </row>
    <row r="183" spans="1:35" x14ac:dyDescent="0.25">
      <c r="A183" s="9"/>
      <c r="B183" s="9"/>
      <c r="C183" s="10" t="str">
        <f t="shared" si="69"/>
        <v/>
      </c>
      <c r="D183" s="11">
        <f t="shared" si="70"/>
        <v>0</v>
      </c>
      <c r="E183" s="11">
        <f t="shared" si="71"/>
        <v>0</v>
      </c>
      <c r="F183" s="11">
        <f t="shared" si="72"/>
        <v>0</v>
      </c>
      <c r="G183" s="12">
        <f t="shared" si="73"/>
        <v>0</v>
      </c>
      <c r="H183" s="11">
        <f t="shared" si="74"/>
        <v>0</v>
      </c>
      <c r="I183" s="11">
        <f t="shared" si="75"/>
        <v>0</v>
      </c>
      <c r="J183" s="12">
        <f t="shared" si="76"/>
        <v>0</v>
      </c>
      <c r="K183" s="11">
        <f t="shared" si="77"/>
        <v>0</v>
      </c>
      <c r="L183" s="12">
        <f t="shared" si="78"/>
        <v>0</v>
      </c>
      <c r="M183" s="12">
        <f t="shared" si="79"/>
        <v>0</v>
      </c>
      <c r="N183" s="11">
        <f t="shared" si="80"/>
        <v>0</v>
      </c>
      <c r="O183" s="12">
        <f t="shared" si="81"/>
        <v>0</v>
      </c>
      <c r="P183" s="11">
        <f t="shared" si="82"/>
        <v>0</v>
      </c>
      <c r="Q183" s="12">
        <f t="shared" si="83"/>
        <v>0</v>
      </c>
      <c r="R183" s="11">
        <f t="shared" si="84"/>
        <v>0</v>
      </c>
      <c r="S183" s="12">
        <f t="shared" si="85"/>
        <v>0</v>
      </c>
      <c r="T183" s="12">
        <f t="shared" si="86"/>
        <v>0</v>
      </c>
      <c r="U183" s="12">
        <f t="shared" si="87"/>
        <v>0</v>
      </c>
      <c r="V183" s="11">
        <f t="shared" si="88"/>
        <v>0</v>
      </c>
      <c r="W183" s="11">
        <f t="shared" si="89"/>
        <v>0</v>
      </c>
      <c r="X183" s="11">
        <f t="shared" si="90"/>
        <v>0</v>
      </c>
      <c r="Y183" s="11">
        <f t="shared" si="91"/>
        <v>0</v>
      </c>
      <c r="Z183" s="12">
        <f t="shared" si="92"/>
        <v>0</v>
      </c>
      <c r="AA183" s="11">
        <f t="shared" si="93"/>
        <v>0</v>
      </c>
      <c r="AB183" s="11">
        <f t="shared" si="94"/>
        <v>0</v>
      </c>
      <c r="AC183" s="11">
        <f t="shared" si="95"/>
        <v>0</v>
      </c>
      <c r="AD183" s="11">
        <f t="shared" si="96"/>
        <v>0</v>
      </c>
      <c r="AE183" s="13">
        <f t="shared" si="97"/>
        <v>0</v>
      </c>
      <c r="AF183" s="13">
        <f t="shared" si="98"/>
        <v>0</v>
      </c>
      <c r="AG183" s="11">
        <f t="shared" si="99"/>
        <v>0</v>
      </c>
      <c r="AH183" s="14" t="str">
        <f t="shared" si="101"/>
        <v>InvalidSymbolDetails</v>
      </c>
      <c r="AI183" s="12">
        <f t="shared" si="100"/>
        <v>0</v>
      </c>
    </row>
    <row r="184" spans="1:35" x14ac:dyDescent="0.25">
      <c r="A184" s="9"/>
      <c r="B184" s="9"/>
      <c r="C184" s="10" t="str">
        <f t="shared" si="69"/>
        <v/>
      </c>
      <c r="D184" s="11">
        <f t="shared" si="70"/>
        <v>0</v>
      </c>
      <c r="E184" s="11">
        <f t="shared" si="71"/>
        <v>0</v>
      </c>
      <c r="F184" s="11">
        <f t="shared" si="72"/>
        <v>0</v>
      </c>
      <c r="G184" s="12">
        <f t="shared" si="73"/>
        <v>0</v>
      </c>
      <c r="H184" s="11">
        <f t="shared" si="74"/>
        <v>0</v>
      </c>
      <c r="I184" s="11">
        <f t="shared" si="75"/>
        <v>0</v>
      </c>
      <c r="J184" s="12">
        <f t="shared" si="76"/>
        <v>0</v>
      </c>
      <c r="K184" s="11">
        <f t="shared" si="77"/>
        <v>0</v>
      </c>
      <c r="L184" s="12">
        <f t="shared" si="78"/>
        <v>0</v>
      </c>
      <c r="M184" s="12">
        <f t="shared" si="79"/>
        <v>0</v>
      </c>
      <c r="N184" s="11">
        <f t="shared" si="80"/>
        <v>0</v>
      </c>
      <c r="O184" s="12">
        <f t="shared" si="81"/>
        <v>0</v>
      </c>
      <c r="P184" s="11">
        <f t="shared" si="82"/>
        <v>0</v>
      </c>
      <c r="Q184" s="12">
        <f t="shared" si="83"/>
        <v>0</v>
      </c>
      <c r="R184" s="11">
        <f t="shared" si="84"/>
        <v>0</v>
      </c>
      <c r="S184" s="12">
        <f t="shared" si="85"/>
        <v>0</v>
      </c>
      <c r="T184" s="12">
        <f t="shared" si="86"/>
        <v>0</v>
      </c>
      <c r="U184" s="12">
        <f t="shared" si="87"/>
        <v>0</v>
      </c>
      <c r="V184" s="11">
        <f t="shared" si="88"/>
        <v>0</v>
      </c>
      <c r="W184" s="11">
        <f t="shared" si="89"/>
        <v>0</v>
      </c>
      <c r="X184" s="11">
        <f t="shared" si="90"/>
        <v>0</v>
      </c>
      <c r="Y184" s="11">
        <f t="shared" si="91"/>
        <v>0</v>
      </c>
      <c r="Z184" s="12">
        <f t="shared" si="92"/>
        <v>0</v>
      </c>
      <c r="AA184" s="11">
        <f t="shared" si="93"/>
        <v>0</v>
      </c>
      <c r="AB184" s="11">
        <f t="shared" si="94"/>
        <v>0</v>
      </c>
      <c r="AC184" s="11">
        <f t="shared" si="95"/>
        <v>0</v>
      </c>
      <c r="AD184" s="11">
        <f t="shared" si="96"/>
        <v>0</v>
      </c>
      <c r="AE184" s="13">
        <f t="shared" si="97"/>
        <v>0</v>
      </c>
      <c r="AF184" s="13">
        <f t="shared" si="98"/>
        <v>0</v>
      </c>
      <c r="AG184" s="11">
        <f t="shared" si="99"/>
        <v>0</v>
      </c>
      <c r="AH184" s="14" t="str">
        <f t="shared" si="101"/>
        <v>InvalidSymbolDetails</v>
      </c>
      <c r="AI184" s="12">
        <f t="shared" si="100"/>
        <v>0</v>
      </c>
    </row>
    <row r="185" spans="1:35" x14ac:dyDescent="0.25">
      <c r="A185" s="9"/>
      <c r="B185" s="9"/>
      <c r="C185" s="10" t="str">
        <f t="shared" si="69"/>
        <v/>
      </c>
      <c r="D185" s="11">
        <f t="shared" si="70"/>
        <v>0</v>
      </c>
      <c r="E185" s="11">
        <f t="shared" si="71"/>
        <v>0</v>
      </c>
      <c r="F185" s="11">
        <f t="shared" si="72"/>
        <v>0</v>
      </c>
      <c r="G185" s="12">
        <f t="shared" si="73"/>
        <v>0</v>
      </c>
      <c r="H185" s="11">
        <f t="shared" si="74"/>
        <v>0</v>
      </c>
      <c r="I185" s="11">
        <f t="shared" si="75"/>
        <v>0</v>
      </c>
      <c r="J185" s="12">
        <f t="shared" si="76"/>
        <v>0</v>
      </c>
      <c r="K185" s="11">
        <f t="shared" si="77"/>
        <v>0</v>
      </c>
      <c r="L185" s="12">
        <f t="shared" si="78"/>
        <v>0</v>
      </c>
      <c r="M185" s="12">
        <f t="shared" si="79"/>
        <v>0</v>
      </c>
      <c r="N185" s="11">
        <f t="shared" si="80"/>
        <v>0</v>
      </c>
      <c r="O185" s="12">
        <f t="shared" si="81"/>
        <v>0</v>
      </c>
      <c r="P185" s="11">
        <f t="shared" si="82"/>
        <v>0</v>
      </c>
      <c r="Q185" s="12">
        <f t="shared" si="83"/>
        <v>0</v>
      </c>
      <c r="R185" s="11">
        <f t="shared" si="84"/>
        <v>0</v>
      </c>
      <c r="S185" s="12">
        <f t="shared" si="85"/>
        <v>0</v>
      </c>
      <c r="T185" s="12">
        <f t="shared" si="86"/>
        <v>0</v>
      </c>
      <c r="U185" s="12">
        <f t="shared" si="87"/>
        <v>0</v>
      </c>
      <c r="V185" s="11">
        <f t="shared" si="88"/>
        <v>0</v>
      </c>
      <c r="W185" s="11">
        <f t="shared" si="89"/>
        <v>0</v>
      </c>
      <c r="X185" s="11">
        <f t="shared" si="90"/>
        <v>0</v>
      </c>
      <c r="Y185" s="11">
        <f t="shared" si="91"/>
        <v>0</v>
      </c>
      <c r="Z185" s="12">
        <f t="shared" si="92"/>
        <v>0</v>
      </c>
      <c r="AA185" s="11">
        <f t="shared" si="93"/>
        <v>0</v>
      </c>
      <c r="AB185" s="11">
        <f t="shared" si="94"/>
        <v>0</v>
      </c>
      <c r="AC185" s="11">
        <f t="shared" si="95"/>
        <v>0</v>
      </c>
      <c r="AD185" s="11">
        <f t="shared" si="96"/>
        <v>0</v>
      </c>
      <c r="AE185" s="13">
        <f t="shared" si="97"/>
        <v>0</v>
      </c>
      <c r="AF185" s="13">
        <f t="shared" si="98"/>
        <v>0</v>
      </c>
      <c r="AG185" s="11">
        <f t="shared" si="99"/>
        <v>0</v>
      </c>
      <c r="AH185" s="14" t="str">
        <f t="shared" si="101"/>
        <v>InvalidSymbolDetails</v>
      </c>
      <c r="AI185" s="12">
        <f t="shared" si="100"/>
        <v>0</v>
      </c>
    </row>
    <row r="186" spans="1:35" x14ac:dyDescent="0.25">
      <c r="A186" s="9"/>
      <c r="B186" s="9"/>
      <c r="C186" s="10" t="str">
        <f t="shared" si="69"/>
        <v/>
      </c>
      <c r="D186" s="11">
        <f t="shared" si="70"/>
        <v>0</v>
      </c>
      <c r="E186" s="11">
        <f t="shared" si="71"/>
        <v>0</v>
      </c>
      <c r="F186" s="11">
        <f t="shared" si="72"/>
        <v>0</v>
      </c>
      <c r="G186" s="12">
        <f t="shared" si="73"/>
        <v>0</v>
      </c>
      <c r="H186" s="11">
        <f t="shared" si="74"/>
        <v>0</v>
      </c>
      <c r="I186" s="11">
        <f t="shared" si="75"/>
        <v>0</v>
      </c>
      <c r="J186" s="12">
        <f t="shared" si="76"/>
        <v>0</v>
      </c>
      <c r="K186" s="11">
        <f t="shared" si="77"/>
        <v>0</v>
      </c>
      <c r="L186" s="12">
        <f t="shared" si="78"/>
        <v>0</v>
      </c>
      <c r="M186" s="12">
        <f t="shared" si="79"/>
        <v>0</v>
      </c>
      <c r="N186" s="11">
        <f t="shared" si="80"/>
        <v>0</v>
      </c>
      <c r="O186" s="12">
        <f t="shared" si="81"/>
        <v>0</v>
      </c>
      <c r="P186" s="11">
        <f t="shared" si="82"/>
        <v>0</v>
      </c>
      <c r="Q186" s="12">
        <f t="shared" si="83"/>
        <v>0</v>
      </c>
      <c r="R186" s="11">
        <f t="shared" si="84"/>
        <v>0</v>
      </c>
      <c r="S186" s="12">
        <f t="shared" si="85"/>
        <v>0</v>
      </c>
      <c r="T186" s="12">
        <f t="shared" si="86"/>
        <v>0</v>
      </c>
      <c r="U186" s="12">
        <f t="shared" si="87"/>
        <v>0</v>
      </c>
      <c r="V186" s="11">
        <f t="shared" si="88"/>
        <v>0</v>
      </c>
      <c r="W186" s="11">
        <f t="shared" si="89"/>
        <v>0</v>
      </c>
      <c r="X186" s="11">
        <f t="shared" si="90"/>
        <v>0</v>
      </c>
      <c r="Y186" s="11">
        <f t="shared" si="91"/>
        <v>0</v>
      </c>
      <c r="Z186" s="12">
        <f t="shared" si="92"/>
        <v>0</v>
      </c>
      <c r="AA186" s="11">
        <f t="shared" si="93"/>
        <v>0</v>
      </c>
      <c r="AB186" s="11">
        <f t="shared" si="94"/>
        <v>0</v>
      </c>
      <c r="AC186" s="11">
        <f t="shared" si="95"/>
        <v>0</v>
      </c>
      <c r="AD186" s="11">
        <f t="shared" si="96"/>
        <v>0</v>
      </c>
      <c r="AE186" s="13">
        <f t="shared" si="97"/>
        <v>0</v>
      </c>
      <c r="AF186" s="13">
        <f t="shared" si="98"/>
        <v>0</v>
      </c>
      <c r="AG186" s="11">
        <f t="shared" si="99"/>
        <v>0</v>
      </c>
      <c r="AH186" s="14" t="str">
        <f t="shared" si="101"/>
        <v>InvalidSymbolDetails</v>
      </c>
      <c r="AI186" s="12">
        <f t="shared" si="100"/>
        <v>0</v>
      </c>
    </row>
    <row r="187" spans="1:35" x14ac:dyDescent="0.25">
      <c r="A187" s="9"/>
      <c r="B187" s="9"/>
      <c r="C187" s="10" t="str">
        <f t="shared" si="69"/>
        <v/>
      </c>
      <c r="D187" s="11">
        <f t="shared" si="70"/>
        <v>0</v>
      </c>
      <c r="E187" s="11">
        <f t="shared" si="71"/>
        <v>0</v>
      </c>
      <c r="F187" s="11">
        <f t="shared" si="72"/>
        <v>0</v>
      </c>
      <c r="G187" s="12">
        <f t="shared" si="73"/>
        <v>0</v>
      </c>
      <c r="H187" s="11">
        <f t="shared" si="74"/>
        <v>0</v>
      </c>
      <c r="I187" s="11">
        <f t="shared" si="75"/>
        <v>0</v>
      </c>
      <c r="J187" s="12">
        <f t="shared" si="76"/>
        <v>0</v>
      </c>
      <c r="K187" s="11">
        <f t="shared" si="77"/>
        <v>0</v>
      </c>
      <c r="L187" s="12">
        <f t="shared" si="78"/>
        <v>0</v>
      </c>
      <c r="M187" s="12">
        <f t="shared" si="79"/>
        <v>0</v>
      </c>
      <c r="N187" s="11">
        <f t="shared" si="80"/>
        <v>0</v>
      </c>
      <c r="O187" s="12">
        <f t="shared" si="81"/>
        <v>0</v>
      </c>
      <c r="P187" s="11">
        <f t="shared" si="82"/>
        <v>0</v>
      </c>
      <c r="Q187" s="12">
        <f t="shared" si="83"/>
        <v>0</v>
      </c>
      <c r="R187" s="11">
        <f t="shared" si="84"/>
        <v>0</v>
      </c>
      <c r="S187" s="12">
        <f t="shared" si="85"/>
        <v>0</v>
      </c>
      <c r="T187" s="12">
        <f t="shared" si="86"/>
        <v>0</v>
      </c>
      <c r="U187" s="12">
        <f t="shared" si="87"/>
        <v>0</v>
      </c>
      <c r="V187" s="11">
        <f t="shared" si="88"/>
        <v>0</v>
      </c>
      <c r="W187" s="11">
        <f t="shared" si="89"/>
        <v>0</v>
      </c>
      <c r="X187" s="11">
        <f t="shared" si="90"/>
        <v>0</v>
      </c>
      <c r="Y187" s="11">
        <f t="shared" si="91"/>
        <v>0</v>
      </c>
      <c r="Z187" s="12">
        <f t="shared" si="92"/>
        <v>0</v>
      </c>
      <c r="AA187" s="11">
        <f t="shared" si="93"/>
        <v>0</v>
      </c>
      <c r="AB187" s="11">
        <f t="shared" si="94"/>
        <v>0</v>
      </c>
      <c r="AC187" s="11">
        <f t="shared" si="95"/>
        <v>0</v>
      </c>
      <c r="AD187" s="11">
        <f t="shared" si="96"/>
        <v>0</v>
      </c>
      <c r="AE187" s="13">
        <f t="shared" si="97"/>
        <v>0</v>
      </c>
      <c r="AF187" s="13">
        <f t="shared" si="98"/>
        <v>0</v>
      </c>
      <c r="AG187" s="11">
        <f t="shared" si="99"/>
        <v>0</v>
      </c>
      <c r="AH187" s="14" t="str">
        <f t="shared" si="101"/>
        <v>InvalidSymbolDetails</v>
      </c>
      <c r="AI187" s="12">
        <f t="shared" si="100"/>
        <v>0</v>
      </c>
    </row>
    <row r="188" spans="1:35" x14ac:dyDescent="0.25">
      <c r="A188" s="9"/>
      <c r="B188" s="9"/>
      <c r="C188" s="10" t="str">
        <f t="shared" si="69"/>
        <v/>
      </c>
      <c r="D188" s="11">
        <f t="shared" si="70"/>
        <v>0</v>
      </c>
      <c r="E188" s="11">
        <f t="shared" si="71"/>
        <v>0</v>
      </c>
      <c r="F188" s="11">
        <f t="shared" si="72"/>
        <v>0</v>
      </c>
      <c r="G188" s="12">
        <f t="shared" si="73"/>
        <v>0</v>
      </c>
      <c r="H188" s="11">
        <f t="shared" si="74"/>
        <v>0</v>
      </c>
      <c r="I188" s="11">
        <f t="shared" si="75"/>
        <v>0</v>
      </c>
      <c r="J188" s="12">
        <f t="shared" si="76"/>
        <v>0</v>
      </c>
      <c r="K188" s="11">
        <f t="shared" si="77"/>
        <v>0</v>
      </c>
      <c r="L188" s="12">
        <f t="shared" si="78"/>
        <v>0</v>
      </c>
      <c r="M188" s="12">
        <f t="shared" si="79"/>
        <v>0</v>
      </c>
      <c r="N188" s="11">
        <f t="shared" si="80"/>
        <v>0</v>
      </c>
      <c r="O188" s="12">
        <f t="shared" si="81"/>
        <v>0</v>
      </c>
      <c r="P188" s="11">
        <f t="shared" si="82"/>
        <v>0</v>
      </c>
      <c r="Q188" s="12">
        <f t="shared" si="83"/>
        <v>0</v>
      </c>
      <c r="R188" s="11">
        <f t="shared" si="84"/>
        <v>0</v>
      </c>
      <c r="S188" s="12">
        <f t="shared" si="85"/>
        <v>0</v>
      </c>
      <c r="T188" s="12">
        <f t="shared" si="86"/>
        <v>0</v>
      </c>
      <c r="U188" s="12">
        <f t="shared" si="87"/>
        <v>0</v>
      </c>
      <c r="V188" s="11">
        <f t="shared" si="88"/>
        <v>0</v>
      </c>
      <c r="W188" s="11">
        <f t="shared" si="89"/>
        <v>0</v>
      </c>
      <c r="X188" s="11">
        <f t="shared" si="90"/>
        <v>0</v>
      </c>
      <c r="Y188" s="11">
        <f t="shared" si="91"/>
        <v>0</v>
      </c>
      <c r="Z188" s="12">
        <f t="shared" si="92"/>
        <v>0</v>
      </c>
      <c r="AA188" s="11">
        <f t="shared" si="93"/>
        <v>0</v>
      </c>
      <c r="AB188" s="11">
        <f t="shared" si="94"/>
        <v>0</v>
      </c>
      <c r="AC188" s="11">
        <f t="shared" si="95"/>
        <v>0</v>
      </c>
      <c r="AD188" s="11">
        <f t="shared" si="96"/>
        <v>0</v>
      </c>
      <c r="AE188" s="13">
        <f t="shared" si="97"/>
        <v>0</v>
      </c>
      <c r="AF188" s="13">
        <f t="shared" si="98"/>
        <v>0</v>
      </c>
      <c r="AG188" s="11">
        <f t="shared" si="99"/>
        <v>0</v>
      </c>
      <c r="AH188" s="14" t="str">
        <f t="shared" si="101"/>
        <v>InvalidSymbolDetails</v>
      </c>
      <c r="AI188" s="12">
        <f t="shared" si="100"/>
        <v>0</v>
      </c>
    </row>
    <row r="189" spans="1:35" x14ac:dyDescent="0.25">
      <c r="A189" s="9"/>
      <c r="B189" s="9"/>
      <c r="C189" s="10" t="str">
        <f t="shared" si="69"/>
        <v/>
      </c>
      <c r="D189" s="11">
        <f t="shared" si="70"/>
        <v>0</v>
      </c>
      <c r="E189" s="11">
        <f t="shared" si="71"/>
        <v>0</v>
      </c>
      <c r="F189" s="11">
        <f t="shared" si="72"/>
        <v>0</v>
      </c>
      <c r="G189" s="12">
        <f t="shared" si="73"/>
        <v>0</v>
      </c>
      <c r="H189" s="11">
        <f t="shared" si="74"/>
        <v>0</v>
      </c>
      <c r="I189" s="11">
        <f t="shared" si="75"/>
        <v>0</v>
      </c>
      <c r="J189" s="12">
        <f t="shared" si="76"/>
        <v>0</v>
      </c>
      <c r="K189" s="11">
        <f t="shared" si="77"/>
        <v>0</v>
      </c>
      <c r="L189" s="12">
        <f t="shared" si="78"/>
        <v>0</v>
      </c>
      <c r="M189" s="12">
        <f t="shared" si="79"/>
        <v>0</v>
      </c>
      <c r="N189" s="11">
        <f t="shared" si="80"/>
        <v>0</v>
      </c>
      <c r="O189" s="12">
        <f t="shared" si="81"/>
        <v>0</v>
      </c>
      <c r="P189" s="11">
        <f t="shared" si="82"/>
        <v>0</v>
      </c>
      <c r="Q189" s="12">
        <f t="shared" si="83"/>
        <v>0</v>
      </c>
      <c r="R189" s="11">
        <f t="shared" si="84"/>
        <v>0</v>
      </c>
      <c r="S189" s="12">
        <f t="shared" si="85"/>
        <v>0</v>
      </c>
      <c r="T189" s="12">
        <f t="shared" si="86"/>
        <v>0</v>
      </c>
      <c r="U189" s="12">
        <f t="shared" si="87"/>
        <v>0</v>
      </c>
      <c r="V189" s="11">
        <f t="shared" si="88"/>
        <v>0</v>
      </c>
      <c r="W189" s="11">
        <f t="shared" si="89"/>
        <v>0</v>
      </c>
      <c r="X189" s="11">
        <f t="shared" si="90"/>
        <v>0</v>
      </c>
      <c r="Y189" s="11">
        <f t="shared" si="91"/>
        <v>0</v>
      </c>
      <c r="Z189" s="12">
        <f t="shared" si="92"/>
        <v>0</v>
      </c>
      <c r="AA189" s="11">
        <f t="shared" si="93"/>
        <v>0</v>
      </c>
      <c r="AB189" s="11">
        <f t="shared" si="94"/>
        <v>0</v>
      </c>
      <c r="AC189" s="11">
        <f t="shared" si="95"/>
        <v>0</v>
      </c>
      <c r="AD189" s="11">
        <f t="shared" si="96"/>
        <v>0</v>
      </c>
      <c r="AE189" s="13">
        <f t="shared" si="97"/>
        <v>0</v>
      </c>
      <c r="AF189" s="13">
        <f t="shared" si="98"/>
        <v>0</v>
      </c>
      <c r="AG189" s="11">
        <f t="shared" si="99"/>
        <v>0</v>
      </c>
      <c r="AH189" s="14" t="str">
        <f t="shared" si="101"/>
        <v>InvalidSymbolDetails</v>
      </c>
      <c r="AI189" s="12">
        <f t="shared" si="100"/>
        <v>0</v>
      </c>
    </row>
    <row r="190" spans="1:35" x14ac:dyDescent="0.25">
      <c r="A190" s="9"/>
      <c r="B190" s="9"/>
      <c r="C190" s="10" t="str">
        <f t="shared" si="69"/>
        <v/>
      </c>
      <c r="D190" s="11">
        <f t="shared" si="70"/>
        <v>0</v>
      </c>
      <c r="E190" s="11">
        <f t="shared" si="71"/>
        <v>0</v>
      </c>
      <c r="F190" s="11">
        <f t="shared" si="72"/>
        <v>0</v>
      </c>
      <c r="G190" s="12">
        <f t="shared" si="73"/>
        <v>0</v>
      </c>
      <c r="H190" s="11">
        <f t="shared" si="74"/>
        <v>0</v>
      </c>
      <c r="I190" s="11">
        <f t="shared" si="75"/>
        <v>0</v>
      </c>
      <c r="J190" s="12">
        <f t="shared" si="76"/>
        <v>0</v>
      </c>
      <c r="K190" s="11">
        <f t="shared" si="77"/>
        <v>0</v>
      </c>
      <c r="L190" s="12">
        <f t="shared" si="78"/>
        <v>0</v>
      </c>
      <c r="M190" s="12">
        <f t="shared" si="79"/>
        <v>0</v>
      </c>
      <c r="N190" s="11">
        <f t="shared" si="80"/>
        <v>0</v>
      </c>
      <c r="O190" s="12">
        <f t="shared" si="81"/>
        <v>0</v>
      </c>
      <c r="P190" s="11">
        <f t="shared" si="82"/>
        <v>0</v>
      </c>
      <c r="Q190" s="12">
        <f t="shared" si="83"/>
        <v>0</v>
      </c>
      <c r="R190" s="11">
        <f t="shared" si="84"/>
        <v>0</v>
      </c>
      <c r="S190" s="12">
        <f t="shared" si="85"/>
        <v>0</v>
      </c>
      <c r="T190" s="12">
        <f t="shared" si="86"/>
        <v>0</v>
      </c>
      <c r="U190" s="12">
        <f t="shared" si="87"/>
        <v>0</v>
      </c>
      <c r="V190" s="11">
        <f t="shared" si="88"/>
        <v>0</v>
      </c>
      <c r="W190" s="11">
        <f t="shared" si="89"/>
        <v>0</v>
      </c>
      <c r="X190" s="11">
        <f t="shared" si="90"/>
        <v>0</v>
      </c>
      <c r="Y190" s="11">
        <f t="shared" si="91"/>
        <v>0</v>
      </c>
      <c r="Z190" s="12">
        <f t="shared" si="92"/>
        <v>0</v>
      </c>
      <c r="AA190" s="11">
        <f t="shared" si="93"/>
        <v>0</v>
      </c>
      <c r="AB190" s="11">
        <f t="shared" si="94"/>
        <v>0</v>
      </c>
      <c r="AC190" s="11">
        <f t="shared" si="95"/>
        <v>0</v>
      </c>
      <c r="AD190" s="11">
        <f t="shared" si="96"/>
        <v>0</v>
      </c>
      <c r="AE190" s="13">
        <f t="shared" si="97"/>
        <v>0</v>
      </c>
      <c r="AF190" s="13">
        <f t="shared" si="98"/>
        <v>0</v>
      </c>
      <c r="AG190" s="11">
        <f t="shared" si="99"/>
        <v>0</v>
      </c>
      <c r="AH190" s="14" t="str">
        <f t="shared" si="101"/>
        <v>InvalidSymbolDetails</v>
      </c>
      <c r="AI190" s="12">
        <f t="shared" si="100"/>
        <v>0</v>
      </c>
    </row>
    <row r="191" spans="1:35" x14ac:dyDescent="0.25">
      <c r="A191" s="9"/>
      <c r="B191" s="9"/>
      <c r="C191" s="10" t="str">
        <f t="shared" si="69"/>
        <v/>
      </c>
      <c r="D191" s="11">
        <f t="shared" si="70"/>
        <v>0</v>
      </c>
      <c r="E191" s="11">
        <f t="shared" si="71"/>
        <v>0</v>
      </c>
      <c r="F191" s="11">
        <f t="shared" si="72"/>
        <v>0</v>
      </c>
      <c r="G191" s="12">
        <f t="shared" si="73"/>
        <v>0</v>
      </c>
      <c r="H191" s="11">
        <f t="shared" si="74"/>
        <v>0</v>
      </c>
      <c r="I191" s="11">
        <f t="shared" si="75"/>
        <v>0</v>
      </c>
      <c r="J191" s="12">
        <f t="shared" si="76"/>
        <v>0</v>
      </c>
      <c r="K191" s="11">
        <f t="shared" si="77"/>
        <v>0</v>
      </c>
      <c r="L191" s="12">
        <f t="shared" si="78"/>
        <v>0</v>
      </c>
      <c r="M191" s="12">
        <f t="shared" si="79"/>
        <v>0</v>
      </c>
      <c r="N191" s="11">
        <f t="shared" si="80"/>
        <v>0</v>
      </c>
      <c r="O191" s="12">
        <f t="shared" si="81"/>
        <v>0</v>
      </c>
      <c r="P191" s="11">
        <f t="shared" si="82"/>
        <v>0</v>
      </c>
      <c r="Q191" s="12">
        <f t="shared" si="83"/>
        <v>0</v>
      </c>
      <c r="R191" s="11">
        <f t="shared" si="84"/>
        <v>0</v>
      </c>
      <c r="S191" s="12">
        <f t="shared" si="85"/>
        <v>0</v>
      </c>
      <c r="T191" s="12">
        <f t="shared" si="86"/>
        <v>0</v>
      </c>
      <c r="U191" s="12">
        <f t="shared" si="87"/>
        <v>0</v>
      </c>
      <c r="V191" s="11">
        <f t="shared" si="88"/>
        <v>0</v>
      </c>
      <c r="W191" s="11">
        <f t="shared" si="89"/>
        <v>0</v>
      </c>
      <c r="X191" s="11">
        <f t="shared" si="90"/>
        <v>0</v>
      </c>
      <c r="Y191" s="11">
        <f t="shared" si="91"/>
        <v>0</v>
      </c>
      <c r="Z191" s="12">
        <f t="shared" si="92"/>
        <v>0</v>
      </c>
      <c r="AA191" s="11">
        <f t="shared" si="93"/>
        <v>0</v>
      </c>
      <c r="AB191" s="11">
        <f t="shared" si="94"/>
        <v>0</v>
      </c>
      <c r="AC191" s="11">
        <f t="shared" si="95"/>
        <v>0</v>
      </c>
      <c r="AD191" s="11">
        <f t="shared" si="96"/>
        <v>0</v>
      </c>
      <c r="AE191" s="13">
        <f t="shared" si="97"/>
        <v>0</v>
      </c>
      <c r="AF191" s="13">
        <f t="shared" si="98"/>
        <v>0</v>
      </c>
      <c r="AG191" s="11">
        <f t="shared" si="99"/>
        <v>0</v>
      </c>
      <c r="AH191" s="14" t="str">
        <f t="shared" si="101"/>
        <v>InvalidSymbolDetails</v>
      </c>
      <c r="AI191" s="12">
        <f t="shared" si="100"/>
        <v>0</v>
      </c>
    </row>
    <row r="192" spans="1:35" x14ac:dyDescent="0.25">
      <c r="A192" s="9"/>
      <c r="B192" s="9"/>
      <c r="C192" s="10" t="str">
        <f t="shared" si="69"/>
        <v/>
      </c>
      <c r="D192" s="11">
        <f t="shared" si="70"/>
        <v>0</v>
      </c>
      <c r="E192" s="11">
        <f t="shared" si="71"/>
        <v>0</v>
      </c>
      <c r="F192" s="11">
        <f t="shared" si="72"/>
        <v>0</v>
      </c>
      <c r="G192" s="12">
        <f t="shared" si="73"/>
        <v>0</v>
      </c>
      <c r="H192" s="11">
        <f t="shared" si="74"/>
        <v>0</v>
      </c>
      <c r="I192" s="11">
        <f t="shared" si="75"/>
        <v>0</v>
      </c>
      <c r="J192" s="12">
        <f t="shared" si="76"/>
        <v>0</v>
      </c>
      <c r="K192" s="11">
        <f t="shared" si="77"/>
        <v>0</v>
      </c>
      <c r="L192" s="12">
        <f t="shared" si="78"/>
        <v>0</v>
      </c>
      <c r="M192" s="12">
        <f t="shared" si="79"/>
        <v>0</v>
      </c>
      <c r="N192" s="11">
        <f t="shared" si="80"/>
        <v>0</v>
      </c>
      <c r="O192" s="12">
        <f t="shared" si="81"/>
        <v>0</v>
      </c>
      <c r="P192" s="11">
        <f t="shared" si="82"/>
        <v>0</v>
      </c>
      <c r="Q192" s="12">
        <f t="shared" si="83"/>
        <v>0</v>
      </c>
      <c r="R192" s="11">
        <f t="shared" si="84"/>
        <v>0</v>
      </c>
      <c r="S192" s="12">
        <f t="shared" si="85"/>
        <v>0</v>
      </c>
      <c r="T192" s="12">
        <f t="shared" si="86"/>
        <v>0</v>
      </c>
      <c r="U192" s="12">
        <f t="shared" si="87"/>
        <v>0</v>
      </c>
      <c r="V192" s="11">
        <f t="shared" si="88"/>
        <v>0</v>
      </c>
      <c r="W192" s="11">
        <f t="shared" si="89"/>
        <v>0</v>
      </c>
      <c r="X192" s="11">
        <f t="shared" si="90"/>
        <v>0</v>
      </c>
      <c r="Y192" s="11">
        <f t="shared" si="91"/>
        <v>0</v>
      </c>
      <c r="Z192" s="12">
        <f t="shared" si="92"/>
        <v>0</v>
      </c>
      <c r="AA192" s="11">
        <f t="shared" si="93"/>
        <v>0</v>
      </c>
      <c r="AB192" s="11">
        <f t="shared" si="94"/>
        <v>0</v>
      </c>
      <c r="AC192" s="11">
        <f t="shared" si="95"/>
        <v>0</v>
      </c>
      <c r="AD192" s="11">
        <f t="shared" si="96"/>
        <v>0</v>
      </c>
      <c r="AE192" s="13">
        <f t="shared" si="97"/>
        <v>0</v>
      </c>
      <c r="AF192" s="13">
        <f t="shared" si="98"/>
        <v>0</v>
      </c>
      <c r="AG192" s="11">
        <f t="shared" si="99"/>
        <v>0</v>
      </c>
      <c r="AH192" s="14" t="str">
        <f t="shared" si="101"/>
        <v>InvalidSymbolDetails</v>
      </c>
      <c r="AI192" s="12">
        <f t="shared" si="100"/>
        <v>0</v>
      </c>
    </row>
    <row r="193" spans="1:35" x14ac:dyDescent="0.25">
      <c r="A193" s="9"/>
      <c r="B193" s="9"/>
      <c r="C193" s="10" t="str">
        <f t="shared" si="69"/>
        <v/>
      </c>
      <c r="D193" s="11">
        <f t="shared" si="70"/>
        <v>0</v>
      </c>
      <c r="E193" s="11">
        <f t="shared" si="71"/>
        <v>0</v>
      </c>
      <c r="F193" s="11">
        <f t="shared" si="72"/>
        <v>0</v>
      </c>
      <c r="G193" s="12">
        <f t="shared" si="73"/>
        <v>0</v>
      </c>
      <c r="H193" s="11">
        <f t="shared" si="74"/>
        <v>0</v>
      </c>
      <c r="I193" s="11">
        <f t="shared" si="75"/>
        <v>0</v>
      </c>
      <c r="J193" s="12">
        <f t="shared" si="76"/>
        <v>0</v>
      </c>
      <c r="K193" s="11">
        <f t="shared" si="77"/>
        <v>0</v>
      </c>
      <c r="L193" s="12">
        <f t="shared" si="78"/>
        <v>0</v>
      </c>
      <c r="M193" s="12">
        <f t="shared" si="79"/>
        <v>0</v>
      </c>
      <c r="N193" s="11">
        <f t="shared" si="80"/>
        <v>0</v>
      </c>
      <c r="O193" s="12">
        <f t="shared" si="81"/>
        <v>0</v>
      </c>
      <c r="P193" s="11">
        <f t="shared" si="82"/>
        <v>0</v>
      </c>
      <c r="Q193" s="12">
        <f t="shared" si="83"/>
        <v>0</v>
      </c>
      <c r="R193" s="11">
        <f t="shared" si="84"/>
        <v>0</v>
      </c>
      <c r="S193" s="12">
        <f t="shared" si="85"/>
        <v>0</v>
      </c>
      <c r="T193" s="12">
        <f t="shared" si="86"/>
        <v>0</v>
      </c>
      <c r="U193" s="12">
        <f t="shared" si="87"/>
        <v>0</v>
      </c>
      <c r="V193" s="11">
        <f t="shared" si="88"/>
        <v>0</v>
      </c>
      <c r="W193" s="11">
        <f t="shared" si="89"/>
        <v>0</v>
      </c>
      <c r="X193" s="11">
        <f t="shared" si="90"/>
        <v>0</v>
      </c>
      <c r="Y193" s="11">
        <f t="shared" si="91"/>
        <v>0</v>
      </c>
      <c r="Z193" s="12">
        <f t="shared" si="92"/>
        <v>0</v>
      </c>
      <c r="AA193" s="11">
        <f t="shared" si="93"/>
        <v>0</v>
      </c>
      <c r="AB193" s="11">
        <f t="shared" si="94"/>
        <v>0</v>
      </c>
      <c r="AC193" s="11">
        <f t="shared" si="95"/>
        <v>0</v>
      </c>
      <c r="AD193" s="11">
        <f t="shared" si="96"/>
        <v>0</v>
      </c>
      <c r="AE193" s="13">
        <f t="shared" si="97"/>
        <v>0</v>
      </c>
      <c r="AF193" s="13">
        <f t="shared" si="98"/>
        <v>0</v>
      </c>
      <c r="AG193" s="11">
        <f t="shared" si="99"/>
        <v>0</v>
      </c>
      <c r="AH193" s="14" t="str">
        <f t="shared" si="101"/>
        <v>InvalidSymbolDetails</v>
      </c>
      <c r="AI193" s="12">
        <f t="shared" si="100"/>
        <v>0</v>
      </c>
    </row>
    <row r="194" spans="1:35" x14ac:dyDescent="0.25">
      <c r="A194" s="9"/>
      <c r="B194" s="9"/>
      <c r="C194" s="10" t="str">
        <f t="shared" si="69"/>
        <v/>
      </c>
      <c r="D194" s="11">
        <f t="shared" si="70"/>
        <v>0</v>
      </c>
      <c r="E194" s="11">
        <f t="shared" si="71"/>
        <v>0</v>
      </c>
      <c r="F194" s="11">
        <f t="shared" si="72"/>
        <v>0</v>
      </c>
      <c r="G194" s="12">
        <f t="shared" si="73"/>
        <v>0</v>
      </c>
      <c r="H194" s="11">
        <f t="shared" si="74"/>
        <v>0</v>
      </c>
      <c r="I194" s="11">
        <f t="shared" si="75"/>
        <v>0</v>
      </c>
      <c r="J194" s="12">
        <f t="shared" si="76"/>
        <v>0</v>
      </c>
      <c r="K194" s="11">
        <f t="shared" si="77"/>
        <v>0</v>
      </c>
      <c r="L194" s="12">
        <f t="shared" si="78"/>
        <v>0</v>
      </c>
      <c r="M194" s="12">
        <f t="shared" si="79"/>
        <v>0</v>
      </c>
      <c r="N194" s="11">
        <f t="shared" si="80"/>
        <v>0</v>
      </c>
      <c r="O194" s="12">
        <f t="shared" si="81"/>
        <v>0</v>
      </c>
      <c r="P194" s="11">
        <f t="shared" si="82"/>
        <v>0</v>
      </c>
      <c r="Q194" s="12">
        <f t="shared" si="83"/>
        <v>0</v>
      </c>
      <c r="R194" s="11">
        <f t="shared" si="84"/>
        <v>0</v>
      </c>
      <c r="S194" s="12">
        <f t="shared" si="85"/>
        <v>0</v>
      </c>
      <c r="T194" s="12">
        <f t="shared" si="86"/>
        <v>0</v>
      </c>
      <c r="U194" s="12">
        <f t="shared" si="87"/>
        <v>0</v>
      </c>
      <c r="V194" s="11">
        <f t="shared" si="88"/>
        <v>0</v>
      </c>
      <c r="W194" s="11">
        <f t="shared" si="89"/>
        <v>0</v>
      </c>
      <c r="X194" s="11">
        <f t="shared" si="90"/>
        <v>0</v>
      </c>
      <c r="Y194" s="11">
        <f t="shared" si="91"/>
        <v>0</v>
      </c>
      <c r="Z194" s="12">
        <f t="shared" si="92"/>
        <v>0</v>
      </c>
      <c r="AA194" s="11">
        <f t="shared" si="93"/>
        <v>0</v>
      </c>
      <c r="AB194" s="11">
        <f t="shared" si="94"/>
        <v>0</v>
      </c>
      <c r="AC194" s="11">
        <f t="shared" si="95"/>
        <v>0</v>
      </c>
      <c r="AD194" s="11">
        <f t="shared" si="96"/>
        <v>0</v>
      </c>
      <c r="AE194" s="13">
        <f t="shared" si="97"/>
        <v>0</v>
      </c>
      <c r="AF194" s="13">
        <f t="shared" si="98"/>
        <v>0</v>
      </c>
      <c r="AG194" s="11">
        <f t="shared" si="99"/>
        <v>0</v>
      </c>
      <c r="AH194" s="14" t="str">
        <f t="shared" ref="AH194:AH201" si="102">SubscribeQuotes(A194,B194)</f>
        <v>InvalidSymbolDetails</v>
      </c>
      <c r="AI194" s="12">
        <f t="shared" si="100"/>
        <v>0</v>
      </c>
    </row>
    <row r="195" spans="1:35" x14ac:dyDescent="0.25">
      <c r="A195" s="9"/>
      <c r="B195" s="9"/>
      <c r="C195" s="10" t="str">
        <f t="shared" ref="C195:C201" si="103">IF(D195&gt;0,"MKT DEPTH","")</f>
        <v/>
      </c>
      <c r="D195" s="11">
        <f t="shared" ref="D195:D201" si="104">GetRTD(A195,B195,"LAST")</f>
        <v>0</v>
      </c>
      <c r="E195" s="11">
        <f t="shared" ref="E195:E201" si="105">GetRTD(A195,B195,"PCTCHG")</f>
        <v>0</v>
      </c>
      <c r="F195" s="11">
        <f t="shared" ref="F195:F201" si="106">GetRTD(A195,B195,"NETCHG")</f>
        <v>0</v>
      </c>
      <c r="G195" s="12">
        <f t="shared" ref="G195:G201" si="107">GetRTD(A195,B195,"NETQTY")</f>
        <v>0</v>
      </c>
      <c r="H195" s="11">
        <f t="shared" ref="H195:H201" si="108">GetRTD(A195,B195,"MTM")</f>
        <v>0</v>
      </c>
      <c r="I195" s="11">
        <f t="shared" ref="I195:I201" si="109">GetRTD(A195,B195,"AVGBOUGHTPRICE")</f>
        <v>0</v>
      </c>
      <c r="J195" s="12">
        <f t="shared" ref="J195:J201" si="110">GetRTD(A195,B195,"BOUGHTQTY")</f>
        <v>0</v>
      </c>
      <c r="K195" s="11">
        <f t="shared" ref="K195:K201" si="111">GetRTD(A195,B195,"AVGSOLDPRICE")</f>
        <v>0</v>
      </c>
      <c r="L195" s="12">
        <f t="shared" ref="L195:L201" si="112">GetRTD(A195,B195,"SOLDQTY")</f>
        <v>0</v>
      </c>
      <c r="M195" s="12">
        <f t="shared" ref="M195:M201" si="113">GetRTD(A195,B195,"LASTSIZE")</f>
        <v>0</v>
      </c>
      <c r="N195" s="11">
        <f t="shared" ref="N195:N201" si="114">GetRTD(A195,B195,"BID")</f>
        <v>0</v>
      </c>
      <c r="O195" s="12">
        <f t="shared" ref="O195:O201" si="115">GetRTD(A195,B195,"BIDSIZE")</f>
        <v>0</v>
      </c>
      <c r="P195" s="11">
        <f t="shared" ref="P195:P201" si="116">GetRTD(A195,B195,"ASK")</f>
        <v>0</v>
      </c>
      <c r="Q195" s="12">
        <f t="shared" ref="Q195:Q201" si="117">GetRTD(A195,B195,"ASKSIZE")</f>
        <v>0</v>
      </c>
      <c r="R195" s="11">
        <f t="shared" ref="R195:R201" si="118">GetRTD(A195,B195,"AVGPRICE")</f>
        <v>0</v>
      </c>
      <c r="S195" s="12">
        <f t="shared" ref="S195:S201" si="119">GetRTD(A195,B195,"VOLUME")</f>
        <v>0</v>
      </c>
      <c r="T195" s="12">
        <f t="shared" ref="T195:T201" si="120">GetRTD(A195,B195,"TOTALBUYQTY")</f>
        <v>0</v>
      </c>
      <c r="U195" s="12">
        <f t="shared" ref="U195:U201" si="121">GetRTD(A195,B195,"TOTALSELLQTY")</f>
        <v>0</v>
      </c>
      <c r="V195" s="11">
        <f t="shared" ref="V195:V201" si="122">GetRTD(A195,B195,"OPEN")</f>
        <v>0</v>
      </c>
      <c r="W195" s="11">
        <f t="shared" ref="W195:W201" si="123">GetRTD(A195,B195,"HIGH")</f>
        <v>0</v>
      </c>
      <c r="X195" s="11">
        <f t="shared" ref="X195:X201" si="124">GetRTD(A195,B195,"LOW")</f>
        <v>0</v>
      </c>
      <c r="Y195" s="11">
        <f t="shared" ref="Y195:Y201" si="125">GetRTD(A195,B195,"CLOSE")</f>
        <v>0</v>
      </c>
      <c r="Z195" s="12">
        <f t="shared" ref="Z195:Z201" si="126">GetRTD(A195,B195,"OI")</f>
        <v>0</v>
      </c>
      <c r="AA195" s="11">
        <f t="shared" ref="AA195:AA201" si="127">GetRTD(A195,B195,"LOWERCKT")</f>
        <v>0</v>
      </c>
      <c r="AB195" s="11">
        <f t="shared" ref="AB195:AB201" si="128">GetRTD(A195,B195,"UPPERCKT")</f>
        <v>0</v>
      </c>
      <c r="AC195" s="11">
        <f t="shared" ref="AC195:AC201" si="129">GetRTD(A195,B195,"YEARLYHIGH")</f>
        <v>0</v>
      </c>
      <c r="AD195" s="11">
        <f t="shared" ref="AD195:AD201" si="130">GetRTD(A195,B195,"YEARLYLOW")</f>
        <v>0</v>
      </c>
      <c r="AE195" s="13">
        <f t="shared" ref="AE195:AE201" si="131">GetRTD(A195,B195,"LUT")</f>
        <v>0</v>
      </c>
      <c r="AF195" s="13">
        <f t="shared" ref="AF195:AF201" si="132">GetRTD(A195,B195,"LTT")</f>
        <v>0</v>
      </c>
      <c r="AG195" s="11">
        <f t="shared" ref="AG195:AG201" si="133">GetRTD(A195,B195,"SPOT")</f>
        <v>0</v>
      </c>
      <c r="AH195" s="14" t="str">
        <f t="shared" si="102"/>
        <v>InvalidSymbolDetails</v>
      </c>
      <c r="AI195" s="12">
        <f t="shared" ref="AI195:AI201" si="134">GetValueColor(B195,D195,"Ltp",AF195)</f>
        <v>0</v>
      </c>
    </row>
    <row r="196" spans="1:35" x14ac:dyDescent="0.25">
      <c r="A196" s="9"/>
      <c r="B196" s="9"/>
      <c r="C196" s="10" t="str">
        <f t="shared" si="103"/>
        <v/>
      </c>
      <c r="D196" s="11">
        <f t="shared" si="104"/>
        <v>0</v>
      </c>
      <c r="E196" s="11">
        <f t="shared" si="105"/>
        <v>0</v>
      </c>
      <c r="F196" s="11">
        <f t="shared" si="106"/>
        <v>0</v>
      </c>
      <c r="G196" s="12">
        <f t="shared" si="107"/>
        <v>0</v>
      </c>
      <c r="H196" s="11">
        <f t="shared" si="108"/>
        <v>0</v>
      </c>
      <c r="I196" s="11">
        <f t="shared" si="109"/>
        <v>0</v>
      </c>
      <c r="J196" s="12">
        <f t="shared" si="110"/>
        <v>0</v>
      </c>
      <c r="K196" s="11">
        <f t="shared" si="111"/>
        <v>0</v>
      </c>
      <c r="L196" s="12">
        <f t="shared" si="112"/>
        <v>0</v>
      </c>
      <c r="M196" s="12">
        <f t="shared" si="113"/>
        <v>0</v>
      </c>
      <c r="N196" s="11">
        <f t="shared" si="114"/>
        <v>0</v>
      </c>
      <c r="O196" s="12">
        <f t="shared" si="115"/>
        <v>0</v>
      </c>
      <c r="P196" s="11">
        <f t="shared" si="116"/>
        <v>0</v>
      </c>
      <c r="Q196" s="12">
        <f t="shared" si="117"/>
        <v>0</v>
      </c>
      <c r="R196" s="11">
        <f t="shared" si="118"/>
        <v>0</v>
      </c>
      <c r="S196" s="12">
        <f t="shared" si="119"/>
        <v>0</v>
      </c>
      <c r="T196" s="12">
        <f t="shared" si="120"/>
        <v>0</v>
      </c>
      <c r="U196" s="12">
        <f t="shared" si="121"/>
        <v>0</v>
      </c>
      <c r="V196" s="11">
        <f t="shared" si="122"/>
        <v>0</v>
      </c>
      <c r="W196" s="11">
        <f t="shared" si="123"/>
        <v>0</v>
      </c>
      <c r="X196" s="11">
        <f t="shared" si="124"/>
        <v>0</v>
      </c>
      <c r="Y196" s="11">
        <f t="shared" si="125"/>
        <v>0</v>
      </c>
      <c r="Z196" s="12">
        <f t="shared" si="126"/>
        <v>0</v>
      </c>
      <c r="AA196" s="11">
        <f t="shared" si="127"/>
        <v>0</v>
      </c>
      <c r="AB196" s="11">
        <f t="shared" si="128"/>
        <v>0</v>
      </c>
      <c r="AC196" s="11">
        <f t="shared" si="129"/>
        <v>0</v>
      </c>
      <c r="AD196" s="11">
        <f t="shared" si="130"/>
        <v>0</v>
      </c>
      <c r="AE196" s="13">
        <f t="shared" si="131"/>
        <v>0</v>
      </c>
      <c r="AF196" s="13">
        <f t="shared" si="132"/>
        <v>0</v>
      </c>
      <c r="AG196" s="11">
        <f t="shared" si="133"/>
        <v>0</v>
      </c>
      <c r="AH196" s="14" t="str">
        <f t="shared" si="102"/>
        <v>InvalidSymbolDetails</v>
      </c>
      <c r="AI196" s="12">
        <f t="shared" si="134"/>
        <v>0</v>
      </c>
    </row>
    <row r="197" spans="1:35" x14ac:dyDescent="0.25">
      <c r="A197" s="9"/>
      <c r="B197" s="9"/>
      <c r="C197" s="10" t="str">
        <f t="shared" si="103"/>
        <v/>
      </c>
      <c r="D197" s="11">
        <f t="shared" si="104"/>
        <v>0</v>
      </c>
      <c r="E197" s="11">
        <f t="shared" si="105"/>
        <v>0</v>
      </c>
      <c r="F197" s="11">
        <f t="shared" si="106"/>
        <v>0</v>
      </c>
      <c r="G197" s="12">
        <f t="shared" si="107"/>
        <v>0</v>
      </c>
      <c r="H197" s="11">
        <f t="shared" si="108"/>
        <v>0</v>
      </c>
      <c r="I197" s="11">
        <f t="shared" si="109"/>
        <v>0</v>
      </c>
      <c r="J197" s="12">
        <f t="shared" si="110"/>
        <v>0</v>
      </c>
      <c r="K197" s="11">
        <f t="shared" si="111"/>
        <v>0</v>
      </c>
      <c r="L197" s="12">
        <f t="shared" si="112"/>
        <v>0</v>
      </c>
      <c r="M197" s="12">
        <f t="shared" si="113"/>
        <v>0</v>
      </c>
      <c r="N197" s="11">
        <f t="shared" si="114"/>
        <v>0</v>
      </c>
      <c r="O197" s="12">
        <f t="shared" si="115"/>
        <v>0</v>
      </c>
      <c r="P197" s="11">
        <f t="shared" si="116"/>
        <v>0</v>
      </c>
      <c r="Q197" s="12">
        <f t="shared" si="117"/>
        <v>0</v>
      </c>
      <c r="R197" s="11">
        <f t="shared" si="118"/>
        <v>0</v>
      </c>
      <c r="S197" s="12">
        <f t="shared" si="119"/>
        <v>0</v>
      </c>
      <c r="T197" s="12">
        <f t="shared" si="120"/>
        <v>0</v>
      </c>
      <c r="U197" s="12">
        <f t="shared" si="121"/>
        <v>0</v>
      </c>
      <c r="V197" s="11">
        <f t="shared" si="122"/>
        <v>0</v>
      </c>
      <c r="W197" s="11">
        <f t="shared" si="123"/>
        <v>0</v>
      </c>
      <c r="X197" s="11">
        <f t="shared" si="124"/>
        <v>0</v>
      </c>
      <c r="Y197" s="11">
        <f t="shared" si="125"/>
        <v>0</v>
      </c>
      <c r="Z197" s="12">
        <f t="shared" si="126"/>
        <v>0</v>
      </c>
      <c r="AA197" s="11">
        <f t="shared" si="127"/>
        <v>0</v>
      </c>
      <c r="AB197" s="11">
        <f t="shared" si="128"/>
        <v>0</v>
      </c>
      <c r="AC197" s="11">
        <f t="shared" si="129"/>
        <v>0</v>
      </c>
      <c r="AD197" s="11">
        <f t="shared" si="130"/>
        <v>0</v>
      </c>
      <c r="AE197" s="13">
        <f t="shared" si="131"/>
        <v>0</v>
      </c>
      <c r="AF197" s="13">
        <f t="shared" si="132"/>
        <v>0</v>
      </c>
      <c r="AG197" s="11">
        <f t="shared" si="133"/>
        <v>0</v>
      </c>
      <c r="AH197" s="14" t="str">
        <f t="shared" si="102"/>
        <v>InvalidSymbolDetails</v>
      </c>
      <c r="AI197" s="12">
        <f t="shared" si="134"/>
        <v>0</v>
      </c>
    </row>
    <row r="198" spans="1:35" x14ac:dyDescent="0.25">
      <c r="A198" s="9"/>
      <c r="B198" s="9"/>
      <c r="C198" s="10" t="str">
        <f t="shared" si="103"/>
        <v/>
      </c>
      <c r="D198" s="11">
        <f t="shared" si="104"/>
        <v>0</v>
      </c>
      <c r="E198" s="11">
        <f t="shared" si="105"/>
        <v>0</v>
      </c>
      <c r="F198" s="11">
        <f t="shared" si="106"/>
        <v>0</v>
      </c>
      <c r="G198" s="12">
        <f t="shared" si="107"/>
        <v>0</v>
      </c>
      <c r="H198" s="11">
        <f t="shared" si="108"/>
        <v>0</v>
      </c>
      <c r="I198" s="11">
        <f t="shared" si="109"/>
        <v>0</v>
      </c>
      <c r="J198" s="12">
        <f t="shared" si="110"/>
        <v>0</v>
      </c>
      <c r="K198" s="11">
        <f t="shared" si="111"/>
        <v>0</v>
      </c>
      <c r="L198" s="12">
        <f t="shared" si="112"/>
        <v>0</v>
      </c>
      <c r="M198" s="12">
        <f t="shared" si="113"/>
        <v>0</v>
      </c>
      <c r="N198" s="11">
        <f t="shared" si="114"/>
        <v>0</v>
      </c>
      <c r="O198" s="12">
        <f t="shared" si="115"/>
        <v>0</v>
      </c>
      <c r="P198" s="11">
        <f t="shared" si="116"/>
        <v>0</v>
      </c>
      <c r="Q198" s="12">
        <f t="shared" si="117"/>
        <v>0</v>
      </c>
      <c r="R198" s="11">
        <f t="shared" si="118"/>
        <v>0</v>
      </c>
      <c r="S198" s="12">
        <f t="shared" si="119"/>
        <v>0</v>
      </c>
      <c r="T198" s="12">
        <f t="shared" si="120"/>
        <v>0</v>
      </c>
      <c r="U198" s="12">
        <f t="shared" si="121"/>
        <v>0</v>
      </c>
      <c r="V198" s="11">
        <f t="shared" si="122"/>
        <v>0</v>
      </c>
      <c r="W198" s="11">
        <f t="shared" si="123"/>
        <v>0</v>
      </c>
      <c r="X198" s="11">
        <f t="shared" si="124"/>
        <v>0</v>
      </c>
      <c r="Y198" s="11">
        <f t="shared" si="125"/>
        <v>0</v>
      </c>
      <c r="Z198" s="12">
        <f t="shared" si="126"/>
        <v>0</v>
      </c>
      <c r="AA198" s="11">
        <f t="shared" si="127"/>
        <v>0</v>
      </c>
      <c r="AB198" s="11">
        <f t="shared" si="128"/>
        <v>0</v>
      </c>
      <c r="AC198" s="11">
        <f t="shared" si="129"/>
        <v>0</v>
      </c>
      <c r="AD198" s="11">
        <f t="shared" si="130"/>
        <v>0</v>
      </c>
      <c r="AE198" s="13">
        <f t="shared" si="131"/>
        <v>0</v>
      </c>
      <c r="AF198" s="13">
        <f t="shared" si="132"/>
        <v>0</v>
      </c>
      <c r="AG198" s="11">
        <f t="shared" si="133"/>
        <v>0</v>
      </c>
      <c r="AH198" s="14" t="str">
        <f t="shared" si="102"/>
        <v>InvalidSymbolDetails</v>
      </c>
      <c r="AI198" s="12">
        <f t="shared" si="134"/>
        <v>0</v>
      </c>
    </row>
    <row r="199" spans="1:35" x14ac:dyDescent="0.25">
      <c r="A199" s="9"/>
      <c r="B199" s="9"/>
      <c r="C199" s="10" t="str">
        <f t="shared" si="103"/>
        <v/>
      </c>
      <c r="D199" s="11">
        <f t="shared" si="104"/>
        <v>0</v>
      </c>
      <c r="E199" s="11">
        <f t="shared" si="105"/>
        <v>0</v>
      </c>
      <c r="F199" s="11">
        <f t="shared" si="106"/>
        <v>0</v>
      </c>
      <c r="G199" s="12">
        <f t="shared" si="107"/>
        <v>0</v>
      </c>
      <c r="H199" s="11">
        <f t="shared" si="108"/>
        <v>0</v>
      </c>
      <c r="I199" s="11">
        <f t="shared" si="109"/>
        <v>0</v>
      </c>
      <c r="J199" s="12">
        <f t="shared" si="110"/>
        <v>0</v>
      </c>
      <c r="K199" s="11">
        <f t="shared" si="111"/>
        <v>0</v>
      </c>
      <c r="L199" s="12">
        <f t="shared" si="112"/>
        <v>0</v>
      </c>
      <c r="M199" s="12">
        <f t="shared" si="113"/>
        <v>0</v>
      </c>
      <c r="N199" s="11">
        <f t="shared" si="114"/>
        <v>0</v>
      </c>
      <c r="O199" s="12">
        <f t="shared" si="115"/>
        <v>0</v>
      </c>
      <c r="P199" s="11">
        <f t="shared" si="116"/>
        <v>0</v>
      </c>
      <c r="Q199" s="12">
        <f t="shared" si="117"/>
        <v>0</v>
      </c>
      <c r="R199" s="11">
        <f t="shared" si="118"/>
        <v>0</v>
      </c>
      <c r="S199" s="12">
        <f t="shared" si="119"/>
        <v>0</v>
      </c>
      <c r="T199" s="12">
        <f t="shared" si="120"/>
        <v>0</v>
      </c>
      <c r="U199" s="12">
        <f t="shared" si="121"/>
        <v>0</v>
      </c>
      <c r="V199" s="11">
        <f t="shared" si="122"/>
        <v>0</v>
      </c>
      <c r="W199" s="11">
        <f t="shared" si="123"/>
        <v>0</v>
      </c>
      <c r="X199" s="11">
        <f t="shared" si="124"/>
        <v>0</v>
      </c>
      <c r="Y199" s="11">
        <f t="shared" si="125"/>
        <v>0</v>
      </c>
      <c r="Z199" s="12">
        <f t="shared" si="126"/>
        <v>0</v>
      </c>
      <c r="AA199" s="11">
        <f t="shared" si="127"/>
        <v>0</v>
      </c>
      <c r="AB199" s="11">
        <f t="shared" si="128"/>
        <v>0</v>
      </c>
      <c r="AC199" s="11">
        <f t="shared" si="129"/>
        <v>0</v>
      </c>
      <c r="AD199" s="11">
        <f t="shared" si="130"/>
        <v>0</v>
      </c>
      <c r="AE199" s="13">
        <f t="shared" si="131"/>
        <v>0</v>
      </c>
      <c r="AF199" s="13">
        <f t="shared" si="132"/>
        <v>0</v>
      </c>
      <c r="AG199" s="11">
        <f t="shared" si="133"/>
        <v>0</v>
      </c>
      <c r="AH199" s="14" t="str">
        <f t="shared" si="102"/>
        <v>InvalidSymbolDetails</v>
      </c>
      <c r="AI199" s="12">
        <f t="shared" si="134"/>
        <v>0</v>
      </c>
    </row>
    <row r="200" spans="1:35" x14ac:dyDescent="0.25">
      <c r="A200" s="9"/>
      <c r="B200" s="9"/>
      <c r="C200" s="10" t="str">
        <f t="shared" si="103"/>
        <v/>
      </c>
      <c r="D200" s="11">
        <f t="shared" si="104"/>
        <v>0</v>
      </c>
      <c r="E200" s="11">
        <f t="shared" si="105"/>
        <v>0</v>
      </c>
      <c r="F200" s="11">
        <f t="shared" si="106"/>
        <v>0</v>
      </c>
      <c r="G200" s="12">
        <f t="shared" si="107"/>
        <v>0</v>
      </c>
      <c r="H200" s="11">
        <f t="shared" si="108"/>
        <v>0</v>
      </c>
      <c r="I200" s="11">
        <f t="shared" si="109"/>
        <v>0</v>
      </c>
      <c r="J200" s="12">
        <f t="shared" si="110"/>
        <v>0</v>
      </c>
      <c r="K200" s="11">
        <f t="shared" si="111"/>
        <v>0</v>
      </c>
      <c r="L200" s="12">
        <f t="shared" si="112"/>
        <v>0</v>
      </c>
      <c r="M200" s="12">
        <f t="shared" si="113"/>
        <v>0</v>
      </c>
      <c r="N200" s="11">
        <f t="shared" si="114"/>
        <v>0</v>
      </c>
      <c r="O200" s="12">
        <f t="shared" si="115"/>
        <v>0</v>
      </c>
      <c r="P200" s="11">
        <f t="shared" si="116"/>
        <v>0</v>
      </c>
      <c r="Q200" s="12">
        <f t="shared" si="117"/>
        <v>0</v>
      </c>
      <c r="R200" s="11">
        <f t="shared" si="118"/>
        <v>0</v>
      </c>
      <c r="S200" s="12">
        <f t="shared" si="119"/>
        <v>0</v>
      </c>
      <c r="T200" s="12">
        <f t="shared" si="120"/>
        <v>0</v>
      </c>
      <c r="U200" s="12">
        <f t="shared" si="121"/>
        <v>0</v>
      </c>
      <c r="V200" s="11">
        <f t="shared" si="122"/>
        <v>0</v>
      </c>
      <c r="W200" s="11">
        <f t="shared" si="123"/>
        <v>0</v>
      </c>
      <c r="X200" s="11">
        <f t="shared" si="124"/>
        <v>0</v>
      </c>
      <c r="Y200" s="11">
        <f t="shared" si="125"/>
        <v>0</v>
      </c>
      <c r="Z200" s="12">
        <f t="shared" si="126"/>
        <v>0</v>
      </c>
      <c r="AA200" s="11">
        <f t="shared" si="127"/>
        <v>0</v>
      </c>
      <c r="AB200" s="11">
        <f t="shared" si="128"/>
        <v>0</v>
      </c>
      <c r="AC200" s="11">
        <f t="shared" si="129"/>
        <v>0</v>
      </c>
      <c r="AD200" s="11">
        <f t="shared" si="130"/>
        <v>0</v>
      </c>
      <c r="AE200" s="13">
        <f t="shared" si="131"/>
        <v>0</v>
      </c>
      <c r="AF200" s="13">
        <f t="shared" si="132"/>
        <v>0</v>
      </c>
      <c r="AG200" s="11">
        <f t="shared" si="133"/>
        <v>0</v>
      </c>
      <c r="AH200" s="14" t="str">
        <f t="shared" si="102"/>
        <v>InvalidSymbolDetails</v>
      </c>
      <c r="AI200" s="12">
        <f t="shared" si="134"/>
        <v>0</v>
      </c>
    </row>
    <row r="201" spans="1:35" x14ac:dyDescent="0.25">
      <c r="A201" s="9"/>
      <c r="B201" s="9"/>
      <c r="C201" s="10" t="str">
        <f t="shared" si="103"/>
        <v/>
      </c>
      <c r="D201" s="11">
        <f t="shared" si="104"/>
        <v>0</v>
      </c>
      <c r="E201" s="11">
        <f t="shared" si="105"/>
        <v>0</v>
      </c>
      <c r="F201" s="11">
        <f t="shared" si="106"/>
        <v>0</v>
      </c>
      <c r="G201" s="12">
        <f t="shared" si="107"/>
        <v>0</v>
      </c>
      <c r="H201" s="11">
        <f t="shared" si="108"/>
        <v>0</v>
      </c>
      <c r="I201" s="11">
        <f t="shared" si="109"/>
        <v>0</v>
      </c>
      <c r="J201" s="12">
        <f t="shared" si="110"/>
        <v>0</v>
      </c>
      <c r="K201" s="11">
        <f t="shared" si="111"/>
        <v>0</v>
      </c>
      <c r="L201" s="12">
        <f t="shared" si="112"/>
        <v>0</v>
      </c>
      <c r="M201" s="12">
        <f t="shared" si="113"/>
        <v>0</v>
      </c>
      <c r="N201" s="11">
        <f t="shared" si="114"/>
        <v>0</v>
      </c>
      <c r="O201" s="12">
        <f t="shared" si="115"/>
        <v>0</v>
      </c>
      <c r="P201" s="11">
        <f t="shared" si="116"/>
        <v>0</v>
      </c>
      <c r="Q201" s="12">
        <f t="shared" si="117"/>
        <v>0</v>
      </c>
      <c r="R201" s="11">
        <f t="shared" si="118"/>
        <v>0</v>
      </c>
      <c r="S201" s="12">
        <f t="shared" si="119"/>
        <v>0</v>
      </c>
      <c r="T201" s="12">
        <f t="shared" si="120"/>
        <v>0</v>
      </c>
      <c r="U201" s="12">
        <f t="shared" si="121"/>
        <v>0</v>
      </c>
      <c r="V201" s="11">
        <f t="shared" si="122"/>
        <v>0</v>
      </c>
      <c r="W201" s="11">
        <f t="shared" si="123"/>
        <v>0</v>
      </c>
      <c r="X201" s="11">
        <f t="shared" si="124"/>
        <v>0</v>
      </c>
      <c r="Y201" s="11">
        <f t="shared" si="125"/>
        <v>0</v>
      </c>
      <c r="Z201" s="12">
        <f t="shared" si="126"/>
        <v>0</v>
      </c>
      <c r="AA201" s="11">
        <f t="shared" si="127"/>
        <v>0</v>
      </c>
      <c r="AB201" s="11">
        <f t="shared" si="128"/>
        <v>0</v>
      </c>
      <c r="AC201" s="11">
        <f t="shared" si="129"/>
        <v>0</v>
      </c>
      <c r="AD201" s="11">
        <f t="shared" si="130"/>
        <v>0</v>
      </c>
      <c r="AE201" s="13">
        <f t="shared" si="131"/>
        <v>0</v>
      </c>
      <c r="AF201" s="13">
        <f t="shared" si="132"/>
        <v>0</v>
      </c>
      <c r="AG201" s="11">
        <f t="shared" si="133"/>
        <v>0</v>
      </c>
      <c r="AH201" s="14" t="str">
        <f t="shared" si="102"/>
        <v>InvalidSymbolDetails</v>
      </c>
      <c r="AI201" s="12">
        <f t="shared" si="134"/>
        <v>0</v>
      </c>
    </row>
    <row r="202" spans="1:35" ht="14.25" customHeight="1" x14ac:dyDescent="0.25"/>
  </sheetData>
  <sheetProtection algorithmName="SHA-512" hashValue="Th5MO6Q/GXqyMKuyvPj53q9i/2pFgLk1OHdvKg9BfBdmoOPr/gTczyEn4/QWVgFgQiMG1v3CYknYQCD1LbnyjA==" saltValue="rdzlKb6llqWvfVnaUg9PPg==" spinCount="100000" sheet="1" objects="1" scenarios="1" formatCells="0" formatColumns="0" formatRows="0"/>
  <conditionalFormatting sqref="D2:D201">
    <cfRule type="expression" dxfId="2" priority="2">
      <formula>AI2=-1</formula>
    </cfRule>
    <cfRule type="expression" dxfId="1" priority="3">
      <formula>AI2=1</formula>
    </cfRule>
  </conditionalFormatting>
  <conditionalFormatting sqref="C2:C201">
    <cfRule type="containsText" dxfId="0" priority="1" operator="containsText" text="MKT DEPTH">
      <formula>NOT(ISERROR(SEARCH("MKT DEPTH",C2)))</formula>
    </cfRule>
  </conditionalFormatting>
  <dataValidations count="1">
    <dataValidation type="list" allowBlank="1" showInputMessage="1" showErrorMessage="1" sqref="A2:A201">
      <formula1>"NSE_EQ,NSE_FO,MCX_FO,NCD_FO,BCD_FO,BSE_EQ,NSE_INDEX,BSE_INDEX"</formula1>
    </dataValidation>
  </dataValidation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49"/>
  <sheetViews>
    <sheetView showGridLines="0" workbookViewId="0">
      <pane xSplit="6" ySplit="2" topLeftCell="G3" activePane="bottomRight" state="frozen"/>
      <selection pane="topRight" activeCell="G1" sqref="G1"/>
      <selection pane="bottomLeft" activeCell="A3" sqref="A3"/>
      <selection pane="bottomRight" activeCell="L3" sqref="L3"/>
    </sheetView>
  </sheetViews>
  <sheetFormatPr defaultRowHeight="14.25" x14ac:dyDescent="0.25"/>
  <cols>
    <col min="1" max="1" width="18.28515625" style="23" customWidth="1"/>
    <col min="2" max="2" width="14.42578125" style="23" customWidth="1"/>
    <col min="3" max="4" width="3.28515625" style="22" customWidth="1"/>
    <col min="5" max="5" width="9.42578125" style="23" customWidth="1"/>
    <col min="6" max="6" width="22.5703125" style="23" customWidth="1"/>
    <col min="7" max="7" width="13" style="23" customWidth="1"/>
    <col min="8" max="10" width="11" style="23" customWidth="1"/>
    <col min="11" max="11" width="12.5703125" style="23" customWidth="1"/>
    <col min="12" max="12" width="14" style="23" customWidth="1"/>
    <col min="13" max="13" width="13.5703125" style="23" customWidth="1"/>
    <col min="14" max="14" width="17.5703125" style="23" customWidth="1"/>
    <col min="15" max="15" width="16" style="23" customWidth="1"/>
    <col min="16" max="16" width="17.5703125" style="23" customWidth="1"/>
    <col min="17" max="17" width="16" style="23" customWidth="1"/>
    <col min="18" max="16384" width="9.140625" style="23"/>
  </cols>
  <sheetData>
    <row r="1" spans="1:17" x14ac:dyDescent="0.25">
      <c r="A1" s="46" t="s">
        <v>33</v>
      </c>
      <c r="B1" s="47"/>
      <c r="E1" s="44" t="s">
        <v>64</v>
      </c>
      <c r="F1" s="44"/>
      <c r="G1" s="44"/>
      <c r="H1" s="45" t="s">
        <v>65</v>
      </c>
      <c r="I1" s="45"/>
      <c r="J1" s="45"/>
      <c r="K1" s="45"/>
      <c r="L1" s="41" t="str">
        <f>IF(IsLive,"LIVE TRADE","PAPER TRADE")</f>
        <v>PAPER TRADE</v>
      </c>
      <c r="M1" s="42"/>
      <c r="N1" s="42"/>
      <c r="O1" s="42"/>
      <c r="P1" s="42"/>
      <c r="Q1" s="42"/>
    </row>
    <row r="2" spans="1:17" x14ac:dyDescent="0.25">
      <c r="A2" s="48" t="s">
        <v>34</v>
      </c>
      <c r="B2" s="48"/>
      <c r="E2" s="25" t="s">
        <v>7</v>
      </c>
      <c r="F2" s="25" t="s">
        <v>80</v>
      </c>
      <c r="G2" s="25" t="s">
        <v>81</v>
      </c>
      <c r="H2" s="25" t="s">
        <v>77</v>
      </c>
      <c r="I2" s="25" t="s">
        <v>82</v>
      </c>
      <c r="J2" s="25" t="s">
        <v>83</v>
      </c>
      <c r="K2" s="25" t="s">
        <v>84</v>
      </c>
      <c r="L2" s="25" t="s">
        <v>78</v>
      </c>
      <c r="M2" s="25" t="s">
        <v>85</v>
      </c>
      <c r="N2" s="25" t="s">
        <v>86</v>
      </c>
      <c r="O2" s="25" t="s">
        <v>87</v>
      </c>
      <c r="P2" s="25" t="s">
        <v>88</v>
      </c>
      <c r="Q2" s="25" t="s">
        <v>89</v>
      </c>
    </row>
    <row r="3" spans="1:17" x14ac:dyDescent="0.25">
      <c r="A3" s="35" t="s">
        <v>35</v>
      </c>
      <c r="B3" s="19">
        <v>10000</v>
      </c>
      <c r="E3" s="24" t="s">
        <v>27</v>
      </c>
      <c r="F3" s="24" t="s">
        <v>90</v>
      </c>
      <c r="G3" s="26" t="b">
        <f t="shared" ref="G3:G31" si="0">SubscribeQuotes(E3,F3)</f>
        <v>1</v>
      </c>
      <c r="H3" s="34">
        <f>GetRTD(E3,F3,"LAST")</f>
        <v>800.65</v>
      </c>
      <c r="I3" s="34">
        <f>GetRTD(E3,F3,"PCTCHG")</f>
        <v>0.77</v>
      </c>
      <c r="J3" s="34">
        <f>GetRTD(E3,F3,"NETCHG")</f>
        <v>6.1</v>
      </c>
      <c r="K3" s="34">
        <f>GetRTD(E3,F3,"CLOSE")</f>
        <v>794.55</v>
      </c>
      <c r="L3" s="34">
        <f t="shared" ref="L3:L49" si="1">GetMtmBridge(E3, F3,  StgyCode,"XLBRIDGE",IsLive, H3)</f>
        <v>0</v>
      </c>
      <c r="M3" s="34">
        <f t="shared" ref="M3:M49" si="2">GetNetQtyBridge(E3,F3,StgyCode,"XLBRIDGE",IsLive,H3)</f>
        <v>0</v>
      </c>
      <c r="N3" s="34">
        <f t="shared" ref="N3:N49" si="3">GetBoughtQtyBridge(E3,F3,StgyCode,"XLBRIDGE",IsLive,H3)</f>
        <v>0</v>
      </c>
      <c r="O3" s="34">
        <f t="shared" ref="O3:O49" si="4">GetAvgBoughtPriceBridge(E3,F3,StgyCode,"XLBRIDGE",IsLive,H3)</f>
        <v>0</v>
      </c>
      <c r="P3" s="34">
        <f t="shared" ref="P3:P49" si="5">GetSoldQtyBridge(E3,F3,StgyCode,"XLBRIDGE",IsLive,H3)</f>
        <v>0</v>
      </c>
      <c r="Q3" s="34">
        <f t="shared" ref="Q3:Q49" si="6">GetAvgSoldPriceBridge(E3,F3,StgyCode,"XLBRIDGE",IsLive,H3)</f>
        <v>0</v>
      </c>
    </row>
    <row r="4" spans="1:17" x14ac:dyDescent="0.25">
      <c r="A4" s="35" t="s">
        <v>36</v>
      </c>
      <c r="B4" s="19">
        <v>1</v>
      </c>
      <c r="C4" s="22" t="b">
        <f ca="1">System_Time&gt;=B5</f>
        <v>1</v>
      </c>
      <c r="E4" s="24"/>
      <c r="F4" s="24"/>
      <c r="G4" s="26" t="str">
        <f t="shared" si="0"/>
        <v>InvalidSymbolDetails</v>
      </c>
      <c r="H4" s="34">
        <f t="shared" ref="H4:H49" si="7">GetRTD(E4,F4,"LAST")</f>
        <v>0</v>
      </c>
      <c r="I4" s="34">
        <f t="shared" ref="I4:I49" si="8">GetRTD(E4,F4,"PCTCHG")</f>
        <v>0</v>
      </c>
      <c r="J4" s="34">
        <f t="shared" ref="J4:J49" si="9">GetRTD(E4,F4,"NETCHG")</f>
        <v>0</v>
      </c>
      <c r="K4" s="34">
        <f t="shared" ref="K4:K49" si="10">GetRTD(E4,F4,"CLOSE")</f>
        <v>0</v>
      </c>
      <c r="L4" s="34">
        <f t="shared" si="1"/>
        <v>0</v>
      </c>
      <c r="M4" s="34">
        <f t="shared" si="2"/>
        <v>0</v>
      </c>
      <c r="N4" s="34">
        <f t="shared" si="3"/>
        <v>0</v>
      </c>
      <c r="O4" s="34">
        <f t="shared" si="4"/>
        <v>0</v>
      </c>
      <c r="P4" s="34">
        <f t="shared" si="5"/>
        <v>0</v>
      </c>
      <c r="Q4" s="34">
        <f t="shared" si="6"/>
        <v>0</v>
      </c>
    </row>
    <row r="5" spans="1:17" x14ac:dyDescent="0.25">
      <c r="A5" s="35" t="s">
        <v>37</v>
      </c>
      <c r="B5" s="20">
        <v>0.3888888888888889</v>
      </c>
      <c r="C5" s="22" t="b">
        <f ca="1">AND(Excel_Open_Time &lt; B5,System_Time&gt;=B5,System_Time&lt;=B6)</f>
        <v>0</v>
      </c>
      <c r="E5" s="24"/>
      <c r="F5" s="24"/>
      <c r="G5" s="26" t="str">
        <f t="shared" si="0"/>
        <v>InvalidSymbolDetails</v>
      </c>
      <c r="H5" s="34">
        <f t="shared" si="7"/>
        <v>0</v>
      </c>
      <c r="I5" s="34">
        <f t="shared" si="8"/>
        <v>0</v>
      </c>
      <c r="J5" s="34">
        <f t="shared" si="9"/>
        <v>0</v>
      </c>
      <c r="K5" s="34">
        <f t="shared" si="10"/>
        <v>0</v>
      </c>
      <c r="L5" s="34">
        <f t="shared" si="1"/>
        <v>0</v>
      </c>
      <c r="M5" s="34">
        <f t="shared" si="2"/>
        <v>0</v>
      </c>
      <c r="N5" s="34">
        <f t="shared" si="3"/>
        <v>0</v>
      </c>
      <c r="O5" s="34">
        <f t="shared" si="4"/>
        <v>0</v>
      </c>
      <c r="P5" s="34">
        <f t="shared" si="5"/>
        <v>0</v>
      </c>
      <c r="Q5" s="34">
        <f t="shared" si="6"/>
        <v>0</v>
      </c>
    </row>
    <row r="6" spans="1:17" x14ac:dyDescent="0.25">
      <c r="A6" s="35" t="s">
        <v>38</v>
      </c>
      <c r="B6" s="20">
        <v>0.61458333333333337</v>
      </c>
      <c r="C6" s="22" t="b">
        <f ca="1">System_Time&gt;=B6</f>
        <v>1</v>
      </c>
      <c r="E6" s="24"/>
      <c r="F6" s="24"/>
      <c r="G6" s="26" t="str">
        <f t="shared" si="0"/>
        <v>InvalidSymbolDetails</v>
      </c>
      <c r="H6" s="34">
        <f t="shared" si="7"/>
        <v>0</v>
      </c>
      <c r="I6" s="34">
        <f t="shared" si="8"/>
        <v>0</v>
      </c>
      <c r="J6" s="34">
        <f t="shared" si="9"/>
        <v>0</v>
      </c>
      <c r="K6" s="34">
        <f t="shared" si="10"/>
        <v>0</v>
      </c>
      <c r="L6" s="34">
        <f t="shared" si="1"/>
        <v>0</v>
      </c>
      <c r="M6" s="34">
        <f t="shared" si="2"/>
        <v>0</v>
      </c>
      <c r="N6" s="34">
        <f t="shared" si="3"/>
        <v>0</v>
      </c>
      <c r="O6" s="34">
        <f t="shared" si="4"/>
        <v>0</v>
      </c>
      <c r="P6" s="34">
        <f t="shared" si="5"/>
        <v>0</v>
      </c>
      <c r="Q6" s="34">
        <f t="shared" si="6"/>
        <v>0</v>
      </c>
    </row>
    <row r="7" spans="1:17" x14ac:dyDescent="0.25">
      <c r="A7" s="35" t="s">
        <v>39</v>
      </c>
      <c r="B7" s="20">
        <v>0.63541666666666663</v>
      </c>
      <c r="C7" s="22" t="b">
        <f ca="1">System_Time&gt;=B7</f>
        <v>1</v>
      </c>
      <c r="E7" s="24"/>
      <c r="F7" s="24"/>
      <c r="G7" s="26" t="str">
        <f t="shared" si="0"/>
        <v>InvalidSymbolDetails</v>
      </c>
      <c r="H7" s="34">
        <f t="shared" si="7"/>
        <v>0</v>
      </c>
      <c r="I7" s="34">
        <f t="shared" si="8"/>
        <v>0</v>
      </c>
      <c r="J7" s="34">
        <f t="shared" si="9"/>
        <v>0</v>
      </c>
      <c r="K7" s="34">
        <f t="shared" si="10"/>
        <v>0</v>
      </c>
      <c r="L7" s="34">
        <f t="shared" si="1"/>
        <v>0</v>
      </c>
      <c r="M7" s="34">
        <f t="shared" si="2"/>
        <v>0</v>
      </c>
      <c r="N7" s="34">
        <f t="shared" si="3"/>
        <v>0</v>
      </c>
      <c r="O7" s="34">
        <f t="shared" si="4"/>
        <v>0</v>
      </c>
      <c r="P7" s="34">
        <f t="shared" si="5"/>
        <v>0</v>
      </c>
      <c r="Q7" s="34">
        <f t="shared" si="6"/>
        <v>0</v>
      </c>
    </row>
    <row r="8" spans="1:17" x14ac:dyDescent="0.25">
      <c r="A8" s="35" t="s">
        <v>40</v>
      </c>
      <c r="B8" s="19">
        <v>50000</v>
      </c>
      <c r="E8" s="24"/>
      <c r="F8" s="24"/>
      <c r="G8" s="26" t="str">
        <f t="shared" si="0"/>
        <v>InvalidSymbolDetails</v>
      </c>
      <c r="H8" s="34">
        <f t="shared" si="7"/>
        <v>0</v>
      </c>
      <c r="I8" s="34">
        <f t="shared" si="8"/>
        <v>0</v>
      </c>
      <c r="J8" s="34">
        <f t="shared" si="9"/>
        <v>0</v>
      </c>
      <c r="K8" s="34">
        <f t="shared" si="10"/>
        <v>0</v>
      </c>
      <c r="L8" s="34">
        <f t="shared" si="1"/>
        <v>0</v>
      </c>
      <c r="M8" s="34">
        <f t="shared" si="2"/>
        <v>0</v>
      </c>
      <c r="N8" s="34">
        <f t="shared" si="3"/>
        <v>0</v>
      </c>
      <c r="O8" s="34">
        <f t="shared" si="4"/>
        <v>0</v>
      </c>
      <c r="P8" s="34">
        <f t="shared" si="5"/>
        <v>0</v>
      </c>
      <c r="Q8" s="34">
        <f t="shared" si="6"/>
        <v>0</v>
      </c>
    </row>
    <row r="9" spans="1:17" x14ac:dyDescent="0.25">
      <c r="A9" s="35" t="s">
        <v>41</v>
      </c>
      <c r="B9" s="19">
        <v>-50000</v>
      </c>
      <c r="E9" s="24"/>
      <c r="F9" s="24"/>
      <c r="G9" s="26" t="str">
        <f t="shared" si="0"/>
        <v>InvalidSymbolDetails</v>
      </c>
      <c r="H9" s="34">
        <f t="shared" si="7"/>
        <v>0</v>
      </c>
      <c r="I9" s="34">
        <f t="shared" si="8"/>
        <v>0</v>
      </c>
      <c r="J9" s="34">
        <f t="shared" si="9"/>
        <v>0</v>
      </c>
      <c r="K9" s="34">
        <f t="shared" si="10"/>
        <v>0</v>
      </c>
      <c r="L9" s="34">
        <f t="shared" si="1"/>
        <v>0</v>
      </c>
      <c r="M9" s="34">
        <f t="shared" si="2"/>
        <v>0</v>
      </c>
      <c r="N9" s="34">
        <f t="shared" si="3"/>
        <v>0</v>
      </c>
      <c r="O9" s="34">
        <f t="shared" si="4"/>
        <v>0</v>
      </c>
      <c r="P9" s="34">
        <f t="shared" si="5"/>
        <v>0</v>
      </c>
      <c r="Q9" s="34">
        <f t="shared" si="6"/>
        <v>0</v>
      </c>
    </row>
    <row r="10" spans="1:17" x14ac:dyDescent="0.25">
      <c r="A10" s="35" t="s">
        <v>66</v>
      </c>
      <c r="B10" s="19">
        <v>1</v>
      </c>
      <c r="E10" s="24"/>
      <c r="F10" s="24"/>
      <c r="G10" s="26" t="str">
        <f t="shared" si="0"/>
        <v>InvalidSymbolDetails</v>
      </c>
      <c r="H10" s="34">
        <f t="shared" si="7"/>
        <v>0</v>
      </c>
      <c r="I10" s="34">
        <f t="shared" si="8"/>
        <v>0</v>
      </c>
      <c r="J10" s="34">
        <f t="shared" si="9"/>
        <v>0</v>
      </c>
      <c r="K10" s="34">
        <f t="shared" si="10"/>
        <v>0</v>
      </c>
      <c r="L10" s="34">
        <f t="shared" si="1"/>
        <v>0</v>
      </c>
      <c r="M10" s="34">
        <f t="shared" si="2"/>
        <v>0</v>
      </c>
      <c r="N10" s="34">
        <f t="shared" si="3"/>
        <v>0</v>
      </c>
      <c r="O10" s="34">
        <f t="shared" si="4"/>
        <v>0</v>
      </c>
      <c r="P10" s="34">
        <f t="shared" si="5"/>
        <v>0</v>
      </c>
      <c r="Q10" s="34">
        <f t="shared" si="6"/>
        <v>0</v>
      </c>
    </row>
    <row r="11" spans="1:17" x14ac:dyDescent="0.25">
      <c r="A11" s="35" t="s">
        <v>42</v>
      </c>
      <c r="B11" s="19">
        <v>1.5</v>
      </c>
      <c r="E11" s="24"/>
      <c r="F11" s="24"/>
      <c r="G11" s="26" t="str">
        <f t="shared" si="0"/>
        <v>InvalidSymbolDetails</v>
      </c>
      <c r="H11" s="34">
        <f t="shared" si="7"/>
        <v>0</v>
      </c>
      <c r="I11" s="34">
        <f t="shared" si="8"/>
        <v>0</v>
      </c>
      <c r="J11" s="34">
        <f t="shared" si="9"/>
        <v>0</v>
      </c>
      <c r="K11" s="34">
        <f t="shared" si="10"/>
        <v>0</v>
      </c>
      <c r="L11" s="34">
        <f t="shared" si="1"/>
        <v>0</v>
      </c>
      <c r="M11" s="34">
        <f t="shared" si="2"/>
        <v>0</v>
      </c>
      <c r="N11" s="34">
        <f t="shared" si="3"/>
        <v>0</v>
      </c>
      <c r="O11" s="34">
        <f t="shared" si="4"/>
        <v>0</v>
      </c>
      <c r="P11" s="34">
        <f t="shared" si="5"/>
        <v>0</v>
      </c>
      <c r="Q11" s="34">
        <f t="shared" si="6"/>
        <v>0</v>
      </c>
    </row>
    <row r="12" spans="1:17" x14ac:dyDescent="0.25">
      <c r="A12" s="35" t="s">
        <v>43</v>
      </c>
      <c r="B12" s="19">
        <v>1.5</v>
      </c>
      <c r="E12" s="24"/>
      <c r="F12" s="24"/>
      <c r="G12" s="26" t="str">
        <f t="shared" si="0"/>
        <v>InvalidSymbolDetails</v>
      </c>
      <c r="H12" s="34">
        <f t="shared" si="7"/>
        <v>0</v>
      </c>
      <c r="I12" s="34">
        <f t="shared" si="8"/>
        <v>0</v>
      </c>
      <c r="J12" s="34">
        <f t="shared" si="9"/>
        <v>0</v>
      </c>
      <c r="K12" s="34">
        <f t="shared" si="10"/>
        <v>0</v>
      </c>
      <c r="L12" s="34">
        <f t="shared" si="1"/>
        <v>0</v>
      </c>
      <c r="M12" s="34">
        <f t="shared" si="2"/>
        <v>0</v>
      </c>
      <c r="N12" s="34">
        <f t="shared" si="3"/>
        <v>0</v>
      </c>
      <c r="O12" s="34">
        <f t="shared" si="4"/>
        <v>0</v>
      </c>
      <c r="P12" s="34">
        <f t="shared" si="5"/>
        <v>0</v>
      </c>
      <c r="Q12" s="34">
        <f t="shared" si="6"/>
        <v>0</v>
      </c>
    </row>
    <row r="13" spans="1:17" x14ac:dyDescent="0.25">
      <c r="A13" s="35" t="s">
        <v>44</v>
      </c>
      <c r="B13" s="19">
        <v>0.25</v>
      </c>
      <c r="E13" s="24"/>
      <c r="F13" s="24"/>
      <c r="G13" s="26" t="str">
        <f t="shared" si="0"/>
        <v>InvalidSymbolDetails</v>
      </c>
      <c r="H13" s="34">
        <f t="shared" si="7"/>
        <v>0</v>
      </c>
      <c r="I13" s="34">
        <f t="shared" si="8"/>
        <v>0</v>
      </c>
      <c r="J13" s="34">
        <f t="shared" si="9"/>
        <v>0</v>
      </c>
      <c r="K13" s="34">
        <f t="shared" si="10"/>
        <v>0</v>
      </c>
      <c r="L13" s="34">
        <f t="shared" si="1"/>
        <v>0</v>
      </c>
      <c r="M13" s="34">
        <f t="shared" si="2"/>
        <v>0</v>
      </c>
      <c r="N13" s="34">
        <f t="shared" si="3"/>
        <v>0</v>
      </c>
      <c r="O13" s="34">
        <f t="shared" si="4"/>
        <v>0</v>
      </c>
      <c r="P13" s="34">
        <f t="shared" si="5"/>
        <v>0</v>
      </c>
      <c r="Q13" s="34">
        <f t="shared" si="6"/>
        <v>0</v>
      </c>
    </row>
    <row r="14" spans="1:17" x14ac:dyDescent="0.25">
      <c r="A14" s="35" t="s">
        <v>45</v>
      </c>
      <c r="B14" s="19" t="s">
        <v>60</v>
      </c>
      <c r="C14" s="22" t="b">
        <f>B14="YES"</f>
        <v>0</v>
      </c>
      <c r="E14" s="24"/>
      <c r="F14" s="24"/>
      <c r="G14" s="26" t="str">
        <f t="shared" si="0"/>
        <v>InvalidSymbolDetails</v>
      </c>
      <c r="H14" s="34">
        <f t="shared" si="7"/>
        <v>0</v>
      </c>
      <c r="I14" s="34">
        <f t="shared" si="8"/>
        <v>0</v>
      </c>
      <c r="J14" s="34">
        <f t="shared" si="9"/>
        <v>0</v>
      </c>
      <c r="K14" s="34">
        <f t="shared" si="10"/>
        <v>0</v>
      </c>
      <c r="L14" s="34">
        <f t="shared" si="1"/>
        <v>0</v>
      </c>
      <c r="M14" s="34">
        <f t="shared" si="2"/>
        <v>0</v>
      </c>
      <c r="N14" s="34">
        <f t="shared" si="3"/>
        <v>0</v>
      </c>
      <c r="O14" s="34">
        <f t="shared" si="4"/>
        <v>0</v>
      </c>
      <c r="P14" s="34">
        <f t="shared" si="5"/>
        <v>0</v>
      </c>
      <c r="Q14" s="34">
        <f t="shared" si="6"/>
        <v>0</v>
      </c>
    </row>
    <row r="15" spans="1:17" x14ac:dyDescent="0.25">
      <c r="A15" s="35" t="s">
        <v>46</v>
      </c>
      <c r="B15" s="19" t="s">
        <v>60</v>
      </c>
      <c r="C15" s="22" t="b">
        <f>B15="YES"</f>
        <v>0</v>
      </c>
      <c r="E15" s="24"/>
      <c r="F15" s="24"/>
      <c r="G15" s="26" t="str">
        <f t="shared" si="0"/>
        <v>InvalidSymbolDetails</v>
      </c>
      <c r="H15" s="34">
        <f t="shared" si="7"/>
        <v>0</v>
      </c>
      <c r="I15" s="34">
        <f t="shared" si="8"/>
        <v>0</v>
      </c>
      <c r="J15" s="34">
        <f t="shared" si="9"/>
        <v>0</v>
      </c>
      <c r="K15" s="34">
        <f t="shared" si="10"/>
        <v>0</v>
      </c>
      <c r="L15" s="34">
        <f t="shared" si="1"/>
        <v>0</v>
      </c>
      <c r="M15" s="34">
        <f t="shared" si="2"/>
        <v>0</v>
      </c>
      <c r="N15" s="34">
        <f t="shared" si="3"/>
        <v>0</v>
      </c>
      <c r="O15" s="34">
        <f t="shared" si="4"/>
        <v>0</v>
      </c>
      <c r="P15" s="34">
        <f t="shared" si="5"/>
        <v>0</v>
      </c>
      <c r="Q15" s="34">
        <f t="shared" si="6"/>
        <v>0</v>
      </c>
    </row>
    <row r="16" spans="1:17" x14ac:dyDescent="0.25">
      <c r="E16" s="24"/>
      <c r="F16" s="24"/>
      <c r="G16" s="26" t="str">
        <f t="shared" si="0"/>
        <v>InvalidSymbolDetails</v>
      </c>
      <c r="H16" s="34">
        <f t="shared" si="7"/>
        <v>0</v>
      </c>
      <c r="I16" s="34">
        <f t="shared" si="8"/>
        <v>0</v>
      </c>
      <c r="J16" s="34">
        <f t="shared" si="9"/>
        <v>0</v>
      </c>
      <c r="K16" s="34">
        <f t="shared" si="10"/>
        <v>0</v>
      </c>
      <c r="L16" s="34">
        <f t="shared" si="1"/>
        <v>0</v>
      </c>
      <c r="M16" s="34">
        <f t="shared" si="2"/>
        <v>0</v>
      </c>
      <c r="N16" s="34">
        <f t="shared" si="3"/>
        <v>0</v>
      </c>
      <c r="O16" s="34">
        <f t="shared" si="4"/>
        <v>0</v>
      </c>
      <c r="P16" s="34">
        <f t="shared" si="5"/>
        <v>0</v>
      </c>
      <c r="Q16" s="34">
        <f t="shared" si="6"/>
        <v>0</v>
      </c>
    </row>
    <row r="17" spans="1:17" x14ac:dyDescent="0.25">
      <c r="A17" s="49" t="s">
        <v>47</v>
      </c>
      <c r="B17" s="49"/>
      <c r="E17" s="24"/>
      <c r="F17" s="24"/>
      <c r="G17" s="26" t="str">
        <f t="shared" si="0"/>
        <v>InvalidSymbolDetails</v>
      </c>
      <c r="H17" s="34">
        <f t="shared" si="7"/>
        <v>0</v>
      </c>
      <c r="I17" s="34">
        <f t="shared" si="8"/>
        <v>0</v>
      </c>
      <c r="J17" s="34">
        <f t="shared" si="9"/>
        <v>0</v>
      </c>
      <c r="K17" s="34">
        <f t="shared" si="10"/>
        <v>0</v>
      </c>
      <c r="L17" s="34">
        <f t="shared" si="1"/>
        <v>0</v>
      </c>
      <c r="M17" s="34">
        <f t="shared" si="2"/>
        <v>0</v>
      </c>
      <c r="N17" s="34">
        <f t="shared" si="3"/>
        <v>0</v>
      </c>
      <c r="O17" s="34">
        <f t="shared" si="4"/>
        <v>0</v>
      </c>
      <c r="P17" s="34">
        <f t="shared" si="5"/>
        <v>0</v>
      </c>
      <c r="Q17" s="34">
        <f t="shared" si="6"/>
        <v>0</v>
      </c>
    </row>
    <row r="18" spans="1:17" x14ac:dyDescent="0.25">
      <c r="A18" s="35" t="s">
        <v>48</v>
      </c>
      <c r="B18" s="19" t="s">
        <v>62</v>
      </c>
      <c r="E18" s="24"/>
      <c r="F18" s="24"/>
      <c r="G18" s="26" t="str">
        <f t="shared" si="0"/>
        <v>InvalidSymbolDetails</v>
      </c>
      <c r="H18" s="34">
        <f t="shared" si="7"/>
        <v>0</v>
      </c>
      <c r="I18" s="34">
        <f t="shared" si="8"/>
        <v>0</v>
      </c>
      <c r="J18" s="34">
        <f t="shared" si="9"/>
        <v>0</v>
      </c>
      <c r="K18" s="34">
        <f t="shared" si="10"/>
        <v>0</v>
      </c>
      <c r="L18" s="34">
        <f t="shared" si="1"/>
        <v>0</v>
      </c>
      <c r="M18" s="34">
        <f t="shared" si="2"/>
        <v>0</v>
      </c>
      <c r="N18" s="34">
        <f t="shared" si="3"/>
        <v>0</v>
      </c>
      <c r="O18" s="34">
        <f t="shared" si="4"/>
        <v>0</v>
      </c>
      <c r="P18" s="34">
        <f t="shared" si="5"/>
        <v>0</v>
      </c>
      <c r="Q18" s="34">
        <f t="shared" si="6"/>
        <v>0</v>
      </c>
    </row>
    <row r="19" spans="1:17" x14ac:dyDescent="0.25">
      <c r="A19" s="35" t="s">
        <v>49</v>
      </c>
      <c r="B19" s="19">
        <v>500000</v>
      </c>
      <c r="E19" s="24"/>
      <c r="F19" s="24"/>
      <c r="G19" s="26" t="str">
        <f t="shared" si="0"/>
        <v>InvalidSymbolDetails</v>
      </c>
      <c r="H19" s="34">
        <f t="shared" si="7"/>
        <v>0</v>
      </c>
      <c r="I19" s="34">
        <f t="shared" si="8"/>
        <v>0</v>
      </c>
      <c r="J19" s="34">
        <f t="shared" si="9"/>
        <v>0</v>
      </c>
      <c r="K19" s="34">
        <f t="shared" si="10"/>
        <v>0</v>
      </c>
      <c r="L19" s="34">
        <f t="shared" si="1"/>
        <v>0</v>
      </c>
      <c r="M19" s="34">
        <f t="shared" si="2"/>
        <v>0</v>
      </c>
      <c r="N19" s="34">
        <f t="shared" si="3"/>
        <v>0</v>
      </c>
      <c r="O19" s="34">
        <f t="shared" si="4"/>
        <v>0</v>
      </c>
      <c r="P19" s="34">
        <f t="shared" si="5"/>
        <v>0</v>
      </c>
      <c r="Q19" s="34">
        <f t="shared" si="6"/>
        <v>0</v>
      </c>
    </row>
    <row r="20" spans="1:17" x14ac:dyDescent="0.25">
      <c r="A20" s="35" t="s">
        <v>50</v>
      </c>
      <c r="B20" s="19">
        <v>-500000</v>
      </c>
      <c r="E20" s="24"/>
      <c r="F20" s="24"/>
      <c r="G20" s="26" t="str">
        <f t="shared" si="0"/>
        <v>InvalidSymbolDetails</v>
      </c>
      <c r="H20" s="34">
        <f t="shared" si="7"/>
        <v>0</v>
      </c>
      <c r="I20" s="34">
        <f t="shared" si="8"/>
        <v>0</v>
      </c>
      <c r="J20" s="34">
        <f t="shared" si="9"/>
        <v>0</v>
      </c>
      <c r="K20" s="34">
        <f t="shared" si="10"/>
        <v>0</v>
      </c>
      <c r="L20" s="34">
        <f t="shared" si="1"/>
        <v>0</v>
      </c>
      <c r="M20" s="34">
        <f t="shared" si="2"/>
        <v>0</v>
      </c>
      <c r="N20" s="34">
        <f t="shared" si="3"/>
        <v>0</v>
      </c>
      <c r="O20" s="34">
        <f t="shared" si="4"/>
        <v>0</v>
      </c>
      <c r="P20" s="34">
        <f t="shared" si="5"/>
        <v>0</v>
      </c>
      <c r="Q20" s="34">
        <f t="shared" si="6"/>
        <v>0</v>
      </c>
    </row>
    <row r="21" spans="1:17" x14ac:dyDescent="0.25">
      <c r="A21" s="35" t="s">
        <v>61</v>
      </c>
      <c r="B21" s="19">
        <v>1</v>
      </c>
      <c r="E21" s="24"/>
      <c r="F21" s="24"/>
      <c r="G21" s="26" t="str">
        <f t="shared" si="0"/>
        <v>InvalidSymbolDetails</v>
      </c>
      <c r="H21" s="34">
        <f t="shared" si="7"/>
        <v>0</v>
      </c>
      <c r="I21" s="34">
        <f t="shared" si="8"/>
        <v>0</v>
      </c>
      <c r="J21" s="34">
        <f t="shared" si="9"/>
        <v>0</v>
      </c>
      <c r="K21" s="34">
        <f t="shared" si="10"/>
        <v>0</v>
      </c>
      <c r="L21" s="34">
        <f t="shared" si="1"/>
        <v>0</v>
      </c>
      <c r="M21" s="34">
        <f t="shared" si="2"/>
        <v>0</v>
      </c>
      <c r="N21" s="34">
        <f t="shared" si="3"/>
        <v>0</v>
      </c>
      <c r="O21" s="34">
        <f t="shared" si="4"/>
        <v>0</v>
      </c>
      <c r="P21" s="34">
        <f t="shared" si="5"/>
        <v>0</v>
      </c>
      <c r="Q21" s="34">
        <f t="shared" si="6"/>
        <v>0</v>
      </c>
    </row>
    <row r="22" spans="1:17" x14ac:dyDescent="0.25">
      <c r="E22" s="24"/>
      <c r="F22" s="24"/>
      <c r="G22" s="26" t="str">
        <f t="shared" si="0"/>
        <v>InvalidSymbolDetails</v>
      </c>
      <c r="H22" s="34">
        <f t="shared" si="7"/>
        <v>0</v>
      </c>
      <c r="I22" s="34">
        <f t="shared" si="8"/>
        <v>0</v>
      </c>
      <c r="J22" s="34">
        <f t="shared" si="9"/>
        <v>0</v>
      </c>
      <c r="K22" s="34">
        <f t="shared" si="10"/>
        <v>0</v>
      </c>
      <c r="L22" s="34">
        <f t="shared" si="1"/>
        <v>0</v>
      </c>
      <c r="M22" s="34">
        <f t="shared" si="2"/>
        <v>0</v>
      </c>
      <c r="N22" s="34">
        <f t="shared" si="3"/>
        <v>0</v>
      </c>
      <c r="O22" s="34">
        <f t="shared" si="4"/>
        <v>0</v>
      </c>
      <c r="P22" s="34">
        <f t="shared" si="5"/>
        <v>0</v>
      </c>
      <c r="Q22" s="34">
        <f t="shared" si="6"/>
        <v>0</v>
      </c>
    </row>
    <row r="23" spans="1:17" x14ac:dyDescent="0.25">
      <c r="A23" s="45" t="s">
        <v>51</v>
      </c>
      <c r="B23" s="45"/>
      <c r="E23" s="24"/>
      <c r="F23" s="24"/>
      <c r="G23" s="26" t="str">
        <f t="shared" si="0"/>
        <v>InvalidSymbolDetails</v>
      </c>
      <c r="H23" s="34">
        <f t="shared" si="7"/>
        <v>0</v>
      </c>
      <c r="I23" s="34">
        <f t="shared" si="8"/>
        <v>0</v>
      </c>
      <c r="J23" s="34">
        <f t="shared" si="9"/>
        <v>0</v>
      </c>
      <c r="K23" s="34">
        <f t="shared" si="10"/>
        <v>0</v>
      </c>
      <c r="L23" s="34">
        <f t="shared" si="1"/>
        <v>0</v>
      </c>
      <c r="M23" s="34">
        <f t="shared" si="2"/>
        <v>0</v>
      </c>
      <c r="N23" s="34">
        <f t="shared" si="3"/>
        <v>0</v>
      </c>
      <c r="O23" s="34">
        <f t="shared" si="4"/>
        <v>0</v>
      </c>
      <c r="P23" s="34">
        <f t="shared" si="5"/>
        <v>0</v>
      </c>
      <c r="Q23" s="34">
        <f t="shared" si="6"/>
        <v>0</v>
      </c>
    </row>
    <row r="24" spans="1:17" x14ac:dyDescent="0.25">
      <c r="A24" s="35" t="s">
        <v>63</v>
      </c>
      <c r="B24" s="21" t="s">
        <v>60</v>
      </c>
      <c r="C24" s="22" t="b">
        <f>B24="YES"</f>
        <v>0</v>
      </c>
      <c r="E24" s="24"/>
      <c r="F24" s="24"/>
      <c r="G24" s="26" t="str">
        <f t="shared" si="0"/>
        <v>InvalidSymbolDetails</v>
      </c>
      <c r="H24" s="34">
        <f t="shared" si="7"/>
        <v>0</v>
      </c>
      <c r="I24" s="34">
        <f t="shared" si="8"/>
        <v>0</v>
      </c>
      <c r="J24" s="34">
        <f t="shared" si="9"/>
        <v>0</v>
      </c>
      <c r="K24" s="34">
        <f t="shared" si="10"/>
        <v>0</v>
      </c>
      <c r="L24" s="34">
        <f t="shared" si="1"/>
        <v>0</v>
      </c>
      <c r="M24" s="34">
        <f t="shared" si="2"/>
        <v>0</v>
      </c>
      <c r="N24" s="34">
        <f t="shared" si="3"/>
        <v>0</v>
      </c>
      <c r="O24" s="34">
        <f t="shared" si="4"/>
        <v>0</v>
      </c>
      <c r="P24" s="34">
        <f t="shared" si="5"/>
        <v>0</v>
      </c>
      <c r="Q24" s="34">
        <f t="shared" si="6"/>
        <v>0</v>
      </c>
    </row>
    <row r="25" spans="1:17" x14ac:dyDescent="0.25">
      <c r="E25" s="24"/>
      <c r="F25" s="24"/>
      <c r="G25" s="26" t="str">
        <f t="shared" si="0"/>
        <v>InvalidSymbolDetails</v>
      </c>
      <c r="H25" s="34">
        <f t="shared" si="7"/>
        <v>0</v>
      </c>
      <c r="I25" s="34">
        <f t="shared" si="8"/>
        <v>0</v>
      </c>
      <c r="J25" s="34">
        <f t="shared" si="9"/>
        <v>0</v>
      </c>
      <c r="K25" s="34">
        <f t="shared" si="10"/>
        <v>0</v>
      </c>
      <c r="L25" s="34">
        <f t="shared" si="1"/>
        <v>0</v>
      </c>
      <c r="M25" s="34">
        <f t="shared" si="2"/>
        <v>0</v>
      </c>
      <c r="N25" s="34">
        <f t="shared" si="3"/>
        <v>0</v>
      </c>
      <c r="O25" s="34">
        <f t="shared" si="4"/>
        <v>0</v>
      </c>
      <c r="P25" s="34">
        <f t="shared" si="5"/>
        <v>0</v>
      </c>
      <c r="Q25" s="34">
        <f t="shared" si="6"/>
        <v>0</v>
      </c>
    </row>
    <row r="26" spans="1:17" x14ac:dyDescent="0.25">
      <c r="A26" s="50" t="str">
        <f>IF(IsLive,"LIVE TRADE","PAPER TRADE")</f>
        <v>PAPER TRADE</v>
      </c>
      <c r="B26" s="50"/>
      <c r="E26" s="24"/>
      <c r="F26" s="24"/>
      <c r="G26" s="26" t="str">
        <f t="shared" si="0"/>
        <v>InvalidSymbolDetails</v>
      </c>
      <c r="H26" s="34">
        <f t="shared" si="7"/>
        <v>0</v>
      </c>
      <c r="I26" s="34">
        <f t="shared" si="8"/>
        <v>0</v>
      </c>
      <c r="J26" s="34">
        <f t="shared" si="9"/>
        <v>0</v>
      </c>
      <c r="K26" s="34">
        <f t="shared" si="10"/>
        <v>0</v>
      </c>
      <c r="L26" s="34">
        <f t="shared" si="1"/>
        <v>0</v>
      </c>
      <c r="M26" s="34">
        <f t="shared" si="2"/>
        <v>0</v>
      </c>
      <c r="N26" s="34">
        <f t="shared" si="3"/>
        <v>0</v>
      </c>
      <c r="O26" s="34">
        <f t="shared" si="4"/>
        <v>0</v>
      </c>
      <c r="P26" s="34">
        <f t="shared" si="5"/>
        <v>0</v>
      </c>
      <c r="Q26" s="34">
        <f t="shared" si="6"/>
        <v>0</v>
      </c>
    </row>
    <row r="27" spans="1:17" x14ac:dyDescent="0.25">
      <c r="A27" s="35" t="s">
        <v>52</v>
      </c>
      <c r="B27" s="36">
        <f ca="1">GetTotalPositionsBridge( StgyCode,"XLBRIDGE",IsLive, System_Time)</f>
        <v>0</v>
      </c>
      <c r="E27" s="24"/>
      <c r="F27" s="24"/>
      <c r="G27" s="26" t="str">
        <f t="shared" si="0"/>
        <v>InvalidSymbolDetails</v>
      </c>
      <c r="H27" s="34">
        <f t="shared" si="7"/>
        <v>0</v>
      </c>
      <c r="I27" s="34">
        <f t="shared" si="8"/>
        <v>0</v>
      </c>
      <c r="J27" s="34">
        <f t="shared" si="9"/>
        <v>0</v>
      </c>
      <c r="K27" s="34">
        <f t="shared" si="10"/>
        <v>0</v>
      </c>
      <c r="L27" s="34">
        <f t="shared" si="1"/>
        <v>0</v>
      </c>
      <c r="M27" s="34">
        <f t="shared" si="2"/>
        <v>0</v>
      </c>
      <c r="N27" s="34">
        <f t="shared" si="3"/>
        <v>0</v>
      </c>
      <c r="O27" s="34">
        <f t="shared" si="4"/>
        <v>0</v>
      </c>
      <c r="P27" s="34">
        <f t="shared" si="5"/>
        <v>0</v>
      </c>
      <c r="Q27" s="34">
        <f t="shared" si="6"/>
        <v>0</v>
      </c>
    </row>
    <row r="28" spans="1:17" x14ac:dyDescent="0.25">
      <c r="A28" s="35" t="s">
        <v>53</v>
      </c>
      <c r="B28" s="36">
        <f ca="1">GetOpenPositionsBridge( StgyCode,"XLBRIDGE",IsLive, System_Time)</f>
        <v>0</v>
      </c>
      <c r="E28" s="24"/>
      <c r="F28" s="24"/>
      <c r="G28" s="26" t="str">
        <f t="shared" si="0"/>
        <v>InvalidSymbolDetails</v>
      </c>
      <c r="H28" s="34">
        <f t="shared" si="7"/>
        <v>0</v>
      </c>
      <c r="I28" s="34">
        <f t="shared" si="8"/>
        <v>0</v>
      </c>
      <c r="J28" s="34">
        <f t="shared" si="9"/>
        <v>0</v>
      </c>
      <c r="K28" s="34">
        <f t="shared" si="10"/>
        <v>0</v>
      </c>
      <c r="L28" s="34">
        <f t="shared" si="1"/>
        <v>0</v>
      </c>
      <c r="M28" s="34">
        <f t="shared" si="2"/>
        <v>0</v>
      </c>
      <c r="N28" s="34">
        <f t="shared" si="3"/>
        <v>0</v>
      </c>
      <c r="O28" s="34">
        <f t="shared" si="4"/>
        <v>0</v>
      </c>
      <c r="P28" s="34">
        <f t="shared" si="5"/>
        <v>0</v>
      </c>
      <c r="Q28" s="34">
        <f t="shared" si="6"/>
        <v>0</v>
      </c>
    </row>
    <row r="29" spans="1:17" x14ac:dyDescent="0.25">
      <c r="A29" s="35" t="s">
        <v>54</v>
      </c>
      <c r="B29" s="36">
        <f ca="1">GetClosedPositionsBridge( StgyCode,"XLBRIDGE",IsLive,System_Time)</f>
        <v>0</v>
      </c>
      <c r="E29" s="24"/>
      <c r="F29" s="24"/>
      <c r="G29" s="26" t="str">
        <f t="shared" si="0"/>
        <v>InvalidSymbolDetails</v>
      </c>
      <c r="H29" s="34">
        <f t="shared" si="7"/>
        <v>0</v>
      </c>
      <c r="I29" s="34">
        <f t="shared" si="8"/>
        <v>0</v>
      </c>
      <c r="J29" s="34">
        <f t="shared" si="9"/>
        <v>0</v>
      </c>
      <c r="K29" s="34">
        <f t="shared" si="10"/>
        <v>0</v>
      </c>
      <c r="L29" s="34">
        <f t="shared" si="1"/>
        <v>0</v>
      </c>
      <c r="M29" s="34">
        <f t="shared" si="2"/>
        <v>0</v>
      </c>
      <c r="N29" s="34">
        <f t="shared" si="3"/>
        <v>0</v>
      </c>
      <c r="O29" s="34">
        <f t="shared" si="4"/>
        <v>0</v>
      </c>
      <c r="P29" s="34">
        <f t="shared" si="5"/>
        <v>0</v>
      </c>
      <c r="Q29" s="34">
        <f t="shared" si="6"/>
        <v>0</v>
      </c>
    </row>
    <row r="30" spans="1:17" x14ac:dyDescent="0.25">
      <c r="A30" s="35" t="s">
        <v>55</v>
      </c>
      <c r="B30" s="36">
        <f ca="1">GetTotalMtmBridge( StgyCode,"XLBRIDGE",IsLive, System_Time)</f>
        <v>0</v>
      </c>
      <c r="E30" s="24"/>
      <c r="F30" s="24"/>
      <c r="G30" s="26" t="str">
        <f t="shared" si="0"/>
        <v>InvalidSymbolDetails</v>
      </c>
      <c r="H30" s="34">
        <f t="shared" si="7"/>
        <v>0</v>
      </c>
      <c r="I30" s="34">
        <f t="shared" si="8"/>
        <v>0</v>
      </c>
      <c r="J30" s="34">
        <f t="shared" si="9"/>
        <v>0</v>
      </c>
      <c r="K30" s="34">
        <f t="shared" si="10"/>
        <v>0</v>
      </c>
      <c r="L30" s="34">
        <f t="shared" si="1"/>
        <v>0</v>
      </c>
      <c r="M30" s="34">
        <f t="shared" si="2"/>
        <v>0</v>
      </c>
      <c r="N30" s="34">
        <f t="shared" si="3"/>
        <v>0</v>
      </c>
      <c r="O30" s="34">
        <f t="shared" si="4"/>
        <v>0</v>
      </c>
      <c r="P30" s="34">
        <f t="shared" si="5"/>
        <v>0</v>
      </c>
      <c r="Q30" s="34">
        <f t="shared" si="6"/>
        <v>0</v>
      </c>
    </row>
    <row r="31" spans="1:17" x14ac:dyDescent="0.25">
      <c r="E31" s="24"/>
      <c r="F31" s="24"/>
      <c r="G31" s="26" t="str">
        <f t="shared" si="0"/>
        <v>InvalidSymbolDetails</v>
      </c>
      <c r="H31" s="34">
        <f t="shared" si="7"/>
        <v>0</v>
      </c>
      <c r="I31" s="34">
        <f t="shared" si="8"/>
        <v>0</v>
      </c>
      <c r="J31" s="34">
        <f t="shared" si="9"/>
        <v>0</v>
      </c>
      <c r="K31" s="34">
        <f t="shared" si="10"/>
        <v>0</v>
      </c>
      <c r="L31" s="34">
        <f t="shared" si="1"/>
        <v>0</v>
      </c>
      <c r="M31" s="34">
        <f t="shared" si="2"/>
        <v>0</v>
      </c>
      <c r="N31" s="34">
        <f t="shared" si="3"/>
        <v>0</v>
      </c>
      <c r="O31" s="34">
        <f t="shared" si="4"/>
        <v>0</v>
      </c>
      <c r="P31" s="34">
        <f t="shared" si="5"/>
        <v>0</v>
      </c>
      <c r="Q31" s="34">
        <f t="shared" si="6"/>
        <v>0</v>
      </c>
    </row>
    <row r="32" spans="1:17" x14ac:dyDescent="0.25">
      <c r="A32" s="44" t="s">
        <v>56</v>
      </c>
      <c r="B32" s="44"/>
      <c r="E32" s="24"/>
      <c r="F32" s="24"/>
      <c r="G32" s="26" t="str">
        <f t="shared" ref="G32:G49" si="11">SubscribeQuotes(E32,F32)</f>
        <v>InvalidSymbolDetails</v>
      </c>
      <c r="H32" s="34">
        <f t="shared" si="7"/>
        <v>0</v>
      </c>
      <c r="I32" s="34">
        <f t="shared" si="8"/>
        <v>0</v>
      </c>
      <c r="J32" s="34">
        <f t="shared" si="9"/>
        <v>0</v>
      </c>
      <c r="K32" s="34">
        <f t="shared" si="10"/>
        <v>0</v>
      </c>
      <c r="L32" s="34">
        <f t="shared" si="1"/>
        <v>0</v>
      </c>
      <c r="M32" s="34">
        <f t="shared" si="2"/>
        <v>0</v>
      </c>
      <c r="N32" s="34">
        <f t="shared" si="3"/>
        <v>0</v>
      </c>
      <c r="O32" s="34">
        <f t="shared" si="4"/>
        <v>0</v>
      </c>
      <c r="P32" s="34">
        <f t="shared" si="5"/>
        <v>0</v>
      </c>
      <c r="Q32" s="34">
        <f t="shared" si="6"/>
        <v>0</v>
      </c>
    </row>
    <row r="33" spans="1:17" x14ac:dyDescent="0.25">
      <c r="A33" s="35" t="s">
        <v>57</v>
      </c>
      <c r="B33" s="37">
        <f ca="1">TIME(HOUR(NOW()),MINUTE(NOW()),SECOND(NOW()))</f>
        <v>0.72409722222222228</v>
      </c>
      <c r="E33" s="24"/>
      <c r="F33" s="24"/>
      <c r="G33" s="26" t="str">
        <f t="shared" si="11"/>
        <v>InvalidSymbolDetails</v>
      </c>
      <c r="H33" s="34">
        <f t="shared" si="7"/>
        <v>0</v>
      </c>
      <c r="I33" s="34">
        <f t="shared" si="8"/>
        <v>0</v>
      </c>
      <c r="J33" s="34">
        <f t="shared" si="9"/>
        <v>0</v>
      </c>
      <c r="K33" s="34">
        <f t="shared" si="10"/>
        <v>0</v>
      </c>
      <c r="L33" s="34">
        <f t="shared" si="1"/>
        <v>0</v>
      </c>
      <c r="M33" s="34">
        <f t="shared" si="2"/>
        <v>0</v>
      </c>
      <c r="N33" s="34">
        <f t="shared" si="3"/>
        <v>0</v>
      </c>
      <c r="O33" s="34">
        <f t="shared" si="4"/>
        <v>0</v>
      </c>
      <c r="P33" s="34">
        <f t="shared" si="5"/>
        <v>0</v>
      </c>
      <c r="Q33" s="34">
        <f t="shared" si="6"/>
        <v>0</v>
      </c>
    </row>
    <row r="34" spans="1:17" x14ac:dyDescent="0.25">
      <c r="A34" s="35" t="s">
        <v>58</v>
      </c>
      <c r="B34" s="37">
        <f ca="1">GetExcelOpenTime(System_Time)</f>
        <v>0.70708333333333329</v>
      </c>
      <c r="E34" s="24"/>
      <c r="F34" s="24"/>
      <c r="G34" s="26" t="str">
        <f t="shared" si="11"/>
        <v>InvalidSymbolDetails</v>
      </c>
      <c r="H34" s="34">
        <f t="shared" si="7"/>
        <v>0</v>
      </c>
      <c r="I34" s="34">
        <f t="shared" si="8"/>
        <v>0</v>
      </c>
      <c r="J34" s="34">
        <f t="shared" si="9"/>
        <v>0</v>
      </c>
      <c r="K34" s="34">
        <f t="shared" si="10"/>
        <v>0</v>
      </c>
      <c r="L34" s="34">
        <f t="shared" si="1"/>
        <v>0</v>
      </c>
      <c r="M34" s="34">
        <f t="shared" si="2"/>
        <v>0</v>
      </c>
      <c r="N34" s="34">
        <f t="shared" si="3"/>
        <v>0</v>
      </c>
      <c r="O34" s="34">
        <f t="shared" si="4"/>
        <v>0</v>
      </c>
      <c r="P34" s="34">
        <f t="shared" si="5"/>
        <v>0</v>
      </c>
      <c r="Q34" s="34">
        <f t="shared" si="6"/>
        <v>0</v>
      </c>
    </row>
    <row r="35" spans="1:17" x14ac:dyDescent="0.25">
      <c r="A35" s="35" t="s">
        <v>59</v>
      </c>
      <c r="B35" s="38">
        <f ca="1">GetExcelOpenDate(System_Time)</f>
        <v>43302</v>
      </c>
      <c r="E35" s="24"/>
      <c r="F35" s="24"/>
      <c r="G35" s="26" t="str">
        <f t="shared" si="11"/>
        <v>InvalidSymbolDetails</v>
      </c>
      <c r="H35" s="34">
        <f t="shared" si="7"/>
        <v>0</v>
      </c>
      <c r="I35" s="34">
        <f t="shared" si="8"/>
        <v>0</v>
      </c>
      <c r="J35" s="34">
        <f t="shared" si="9"/>
        <v>0</v>
      </c>
      <c r="K35" s="34">
        <f t="shared" si="10"/>
        <v>0</v>
      </c>
      <c r="L35" s="34">
        <f t="shared" si="1"/>
        <v>0</v>
      </c>
      <c r="M35" s="34">
        <f t="shared" si="2"/>
        <v>0</v>
      </c>
      <c r="N35" s="34">
        <f t="shared" si="3"/>
        <v>0</v>
      </c>
      <c r="O35" s="34">
        <f t="shared" si="4"/>
        <v>0</v>
      </c>
      <c r="P35" s="34">
        <f t="shared" si="5"/>
        <v>0</v>
      </c>
      <c r="Q35" s="34">
        <f t="shared" si="6"/>
        <v>0</v>
      </c>
    </row>
    <row r="36" spans="1:17" x14ac:dyDescent="0.25">
      <c r="E36" s="24"/>
      <c r="F36" s="24"/>
      <c r="G36" s="26" t="str">
        <f t="shared" si="11"/>
        <v>InvalidSymbolDetails</v>
      </c>
      <c r="H36" s="34">
        <f t="shared" si="7"/>
        <v>0</v>
      </c>
      <c r="I36" s="34">
        <f t="shared" si="8"/>
        <v>0</v>
      </c>
      <c r="J36" s="34">
        <f t="shared" si="9"/>
        <v>0</v>
      </c>
      <c r="K36" s="34">
        <f t="shared" si="10"/>
        <v>0</v>
      </c>
      <c r="L36" s="34">
        <f t="shared" si="1"/>
        <v>0</v>
      </c>
      <c r="M36" s="34">
        <f t="shared" si="2"/>
        <v>0</v>
      </c>
      <c r="N36" s="34">
        <f t="shared" si="3"/>
        <v>0</v>
      </c>
      <c r="O36" s="34">
        <f t="shared" si="4"/>
        <v>0</v>
      </c>
      <c r="P36" s="34">
        <f t="shared" si="5"/>
        <v>0</v>
      </c>
      <c r="Q36" s="34">
        <f t="shared" si="6"/>
        <v>0</v>
      </c>
    </row>
    <row r="37" spans="1:17" x14ac:dyDescent="0.25">
      <c r="A37" s="43" t="s">
        <v>67</v>
      </c>
      <c r="B37" s="43"/>
      <c r="E37" s="24"/>
      <c r="F37" s="24"/>
      <c r="G37" s="26" t="str">
        <f t="shared" si="11"/>
        <v>InvalidSymbolDetails</v>
      </c>
      <c r="H37" s="34">
        <f t="shared" si="7"/>
        <v>0</v>
      </c>
      <c r="I37" s="34">
        <f t="shared" si="8"/>
        <v>0</v>
      </c>
      <c r="J37" s="34">
        <f t="shared" si="9"/>
        <v>0</v>
      </c>
      <c r="K37" s="34">
        <f t="shared" si="10"/>
        <v>0</v>
      </c>
      <c r="L37" s="34">
        <f t="shared" si="1"/>
        <v>0</v>
      </c>
      <c r="M37" s="34">
        <f t="shared" si="2"/>
        <v>0</v>
      </c>
      <c r="N37" s="34">
        <f t="shared" si="3"/>
        <v>0</v>
      </c>
      <c r="O37" s="34">
        <f t="shared" si="4"/>
        <v>0</v>
      </c>
      <c r="P37" s="34">
        <f t="shared" si="5"/>
        <v>0</v>
      </c>
      <c r="Q37" s="34">
        <f t="shared" si="6"/>
        <v>0</v>
      </c>
    </row>
    <row r="38" spans="1:17" x14ac:dyDescent="0.25">
      <c r="A38" s="35" t="s">
        <v>68</v>
      </c>
      <c r="B38" s="30"/>
      <c r="E38" s="24"/>
      <c r="F38" s="24"/>
      <c r="G38" s="26" t="str">
        <f t="shared" si="11"/>
        <v>InvalidSymbolDetails</v>
      </c>
      <c r="H38" s="34">
        <f t="shared" si="7"/>
        <v>0</v>
      </c>
      <c r="I38" s="34">
        <f t="shared" si="8"/>
        <v>0</v>
      </c>
      <c r="J38" s="34">
        <f t="shared" si="9"/>
        <v>0</v>
      </c>
      <c r="K38" s="34">
        <f t="shared" si="10"/>
        <v>0</v>
      </c>
      <c r="L38" s="34">
        <f t="shared" si="1"/>
        <v>0</v>
      </c>
      <c r="M38" s="34">
        <f t="shared" si="2"/>
        <v>0</v>
      </c>
      <c r="N38" s="34">
        <f t="shared" si="3"/>
        <v>0</v>
      </c>
      <c r="O38" s="34">
        <f t="shared" si="4"/>
        <v>0</v>
      </c>
      <c r="P38" s="34">
        <f t="shared" si="5"/>
        <v>0</v>
      </c>
      <c r="Q38" s="34">
        <f t="shared" si="6"/>
        <v>0</v>
      </c>
    </row>
    <row r="39" spans="1:17" x14ac:dyDescent="0.25">
      <c r="A39" s="35" t="s">
        <v>69</v>
      </c>
      <c r="B39" s="30"/>
      <c r="E39" s="24"/>
      <c r="F39" s="24"/>
      <c r="G39" s="26" t="str">
        <f t="shared" si="11"/>
        <v>InvalidSymbolDetails</v>
      </c>
      <c r="H39" s="34">
        <f t="shared" si="7"/>
        <v>0</v>
      </c>
      <c r="I39" s="34">
        <f t="shared" si="8"/>
        <v>0</v>
      </c>
      <c r="J39" s="34">
        <f t="shared" si="9"/>
        <v>0</v>
      </c>
      <c r="K39" s="34">
        <f t="shared" si="10"/>
        <v>0</v>
      </c>
      <c r="L39" s="34">
        <f t="shared" si="1"/>
        <v>0</v>
      </c>
      <c r="M39" s="34">
        <f t="shared" si="2"/>
        <v>0</v>
      </c>
      <c r="N39" s="34">
        <f t="shared" si="3"/>
        <v>0</v>
      </c>
      <c r="O39" s="34">
        <f t="shared" si="4"/>
        <v>0</v>
      </c>
      <c r="P39" s="34">
        <f t="shared" si="5"/>
        <v>0</v>
      </c>
      <c r="Q39" s="34">
        <f t="shared" si="6"/>
        <v>0</v>
      </c>
    </row>
    <row r="40" spans="1:17" x14ac:dyDescent="0.25">
      <c r="A40" s="35" t="s">
        <v>70</v>
      </c>
      <c r="B40" s="30"/>
      <c r="E40" s="24"/>
      <c r="F40" s="24"/>
      <c r="G40" s="26" t="str">
        <f t="shared" si="11"/>
        <v>InvalidSymbolDetails</v>
      </c>
      <c r="H40" s="34">
        <f t="shared" si="7"/>
        <v>0</v>
      </c>
      <c r="I40" s="34">
        <f t="shared" si="8"/>
        <v>0</v>
      </c>
      <c r="J40" s="34">
        <f t="shared" si="9"/>
        <v>0</v>
      </c>
      <c r="K40" s="34">
        <f t="shared" si="10"/>
        <v>0</v>
      </c>
      <c r="L40" s="34">
        <f t="shared" si="1"/>
        <v>0</v>
      </c>
      <c r="M40" s="34">
        <f t="shared" si="2"/>
        <v>0</v>
      </c>
      <c r="N40" s="34">
        <f t="shared" si="3"/>
        <v>0</v>
      </c>
      <c r="O40" s="34">
        <f t="shared" si="4"/>
        <v>0</v>
      </c>
      <c r="P40" s="34">
        <f t="shared" si="5"/>
        <v>0</v>
      </c>
      <c r="Q40" s="34">
        <f t="shared" si="6"/>
        <v>0</v>
      </c>
    </row>
    <row r="41" spans="1:17" x14ac:dyDescent="0.25">
      <c r="E41" s="24"/>
      <c r="F41" s="24"/>
      <c r="G41" s="26" t="str">
        <f t="shared" si="11"/>
        <v>InvalidSymbolDetails</v>
      </c>
      <c r="H41" s="34">
        <f t="shared" si="7"/>
        <v>0</v>
      </c>
      <c r="I41" s="34">
        <f t="shared" si="8"/>
        <v>0</v>
      </c>
      <c r="J41" s="34">
        <f t="shared" si="9"/>
        <v>0</v>
      </c>
      <c r="K41" s="34">
        <f t="shared" si="10"/>
        <v>0</v>
      </c>
      <c r="L41" s="34">
        <f t="shared" si="1"/>
        <v>0</v>
      </c>
      <c r="M41" s="34">
        <f t="shared" si="2"/>
        <v>0</v>
      </c>
      <c r="N41" s="34">
        <f t="shared" si="3"/>
        <v>0</v>
      </c>
      <c r="O41" s="34">
        <f t="shared" si="4"/>
        <v>0</v>
      </c>
      <c r="P41" s="34">
        <f t="shared" si="5"/>
        <v>0</v>
      </c>
      <c r="Q41" s="34">
        <f t="shared" si="6"/>
        <v>0</v>
      </c>
    </row>
    <row r="42" spans="1:17" x14ac:dyDescent="0.25">
      <c r="E42" s="24"/>
      <c r="F42" s="24"/>
      <c r="G42" s="26" t="str">
        <f t="shared" si="11"/>
        <v>InvalidSymbolDetails</v>
      </c>
      <c r="H42" s="34">
        <f t="shared" si="7"/>
        <v>0</v>
      </c>
      <c r="I42" s="34">
        <f t="shared" si="8"/>
        <v>0</v>
      </c>
      <c r="J42" s="34">
        <f t="shared" si="9"/>
        <v>0</v>
      </c>
      <c r="K42" s="34">
        <f t="shared" si="10"/>
        <v>0</v>
      </c>
      <c r="L42" s="34">
        <f t="shared" si="1"/>
        <v>0</v>
      </c>
      <c r="M42" s="34">
        <f t="shared" si="2"/>
        <v>0</v>
      </c>
      <c r="N42" s="34">
        <f t="shared" si="3"/>
        <v>0</v>
      </c>
      <c r="O42" s="34">
        <f t="shared" si="4"/>
        <v>0</v>
      </c>
      <c r="P42" s="34">
        <f t="shared" si="5"/>
        <v>0</v>
      </c>
      <c r="Q42" s="34">
        <f t="shared" si="6"/>
        <v>0</v>
      </c>
    </row>
    <row r="43" spans="1:17" x14ac:dyDescent="0.25">
      <c r="E43" s="24"/>
      <c r="F43" s="24"/>
      <c r="G43" s="26" t="str">
        <f t="shared" si="11"/>
        <v>InvalidSymbolDetails</v>
      </c>
      <c r="H43" s="34">
        <f t="shared" si="7"/>
        <v>0</v>
      </c>
      <c r="I43" s="34">
        <f t="shared" si="8"/>
        <v>0</v>
      </c>
      <c r="J43" s="34">
        <f t="shared" si="9"/>
        <v>0</v>
      </c>
      <c r="K43" s="34">
        <f t="shared" si="10"/>
        <v>0</v>
      </c>
      <c r="L43" s="34">
        <f t="shared" si="1"/>
        <v>0</v>
      </c>
      <c r="M43" s="34">
        <f t="shared" si="2"/>
        <v>0</v>
      </c>
      <c r="N43" s="34">
        <f t="shared" si="3"/>
        <v>0</v>
      </c>
      <c r="O43" s="34">
        <f t="shared" si="4"/>
        <v>0</v>
      </c>
      <c r="P43" s="34">
        <f t="shared" si="5"/>
        <v>0</v>
      </c>
      <c r="Q43" s="34">
        <f t="shared" si="6"/>
        <v>0</v>
      </c>
    </row>
    <row r="44" spans="1:17" x14ac:dyDescent="0.25">
      <c r="E44" s="24"/>
      <c r="F44" s="24"/>
      <c r="G44" s="26" t="str">
        <f t="shared" si="11"/>
        <v>InvalidSymbolDetails</v>
      </c>
      <c r="H44" s="34">
        <f t="shared" si="7"/>
        <v>0</v>
      </c>
      <c r="I44" s="34">
        <f t="shared" si="8"/>
        <v>0</v>
      </c>
      <c r="J44" s="34">
        <f t="shared" si="9"/>
        <v>0</v>
      </c>
      <c r="K44" s="34">
        <f t="shared" si="10"/>
        <v>0</v>
      </c>
      <c r="L44" s="34">
        <f t="shared" si="1"/>
        <v>0</v>
      </c>
      <c r="M44" s="34">
        <f t="shared" si="2"/>
        <v>0</v>
      </c>
      <c r="N44" s="34">
        <f t="shared" si="3"/>
        <v>0</v>
      </c>
      <c r="O44" s="34">
        <f t="shared" si="4"/>
        <v>0</v>
      </c>
      <c r="P44" s="34">
        <f t="shared" si="5"/>
        <v>0</v>
      </c>
      <c r="Q44" s="34">
        <f t="shared" si="6"/>
        <v>0</v>
      </c>
    </row>
    <row r="45" spans="1:17" x14ac:dyDescent="0.25">
      <c r="E45" s="24"/>
      <c r="F45" s="24"/>
      <c r="G45" s="26" t="str">
        <f t="shared" si="11"/>
        <v>InvalidSymbolDetails</v>
      </c>
      <c r="H45" s="34">
        <f t="shared" si="7"/>
        <v>0</v>
      </c>
      <c r="I45" s="34">
        <f t="shared" si="8"/>
        <v>0</v>
      </c>
      <c r="J45" s="34">
        <f t="shared" si="9"/>
        <v>0</v>
      </c>
      <c r="K45" s="34">
        <f t="shared" si="10"/>
        <v>0</v>
      </c>
      <c r="L45" s="34">
        <f t="shared" si="1"/>
        <v>0</v>
      </c>
      <c r="M45" s="34">
        <f t="shared" si="2"/>
        <v>0</v>
      </c>
      <c r="N45" s="34">
        <f t="shared" si="3"/>
        <v>0</v>
      </c>
      <c r="O45" s="34">
        <f t="shared" si="4"/>
        <v>0</v>
      </c>
      <c r="P45" s="34">
        <f t="shared" si="5"/>
        <v>0</v>
      </c>
      <c r="Q45" s="34">
        <f t="shared" si="6"/>
        <v>0</v>
      </c>
    </row>
    <row r="46" spans="1:17" x14ac:dyDescent="0.25">
      <c r="E46" s="24"/>
      <c r="F46" s="24"/>
      <c r="G46" s="26" t="str">
        <f t="shared" si="11"/>
        <v>InvalidSymbolDetails</v>
      </c>
      <c r="H46" s="34">
        <f t="shared" si="7"/>
        <v>0</v>
      </c>
      <c r="I46" s="34">
        <f t="shared" si="8"/>
        <v>0</v>
      </c>
      <c r="J46" s="34">
        <f t="shared" si="9"/>
        <v>0</v>
      </c>
      <c r="K46" s="34">
        <f t="shared" si="10"/>
        <v>0</v>
      </c>
      <c r="L46" s="34">
        <f t="shared" si="1"/>
        <v>0</v>
      </c>
      <c r="M46" s="34">
        <f t="shared" si="2"/>
        <v>0</v>
      </c>
      <c r="N46" s="34">
        <f t="shared" si="3"/>
        <v>0</v>
      </c>
      <c r="O46" s="34">
        <f t="shared" si="4"/>
        <v>0</v>
      </c>
      <c r="P46" s="34">
        <f t="shared" si="5"/>
        <v>0</v>
      </c>
      <c r="Q46" s="34">
        <f t="shared" si="6"/>
        <v>0</v>
      </c>
    </row>
    <row r="47" spans="1:17" x14ac:dyDescent="0.25">
      <c r="E47" s="24"/>
      <c r="F47" s="24"/>
      <c r="G47" s="26" t="str">
        <f t="shared" si="11"/>
        <v>InvalidSymbolDetails</v>
      </c>
      <c r="H47" s="34">
        <f t="shared" si="7"/>
        <v>0</v>
      </c>
      <c r="I47" s="34">
        <f t="shared" si="8"/>
        <v>0</v>
      </c>
      <c r="J47" s="34">
        <f t="shared" si="9"/>
        <v>0</v>
      </c>
      <c r="K47" s="34">
        <f t="shared" si="10"/>
        <v>0</v>
      </c>
      <c r="L47" s="34">
        <f t="shared" si="1"/>
        <v>0</v>
      </c>
      <c r="M47" s="34">
        <f t="shared" si="2"/>
        <v>0</v>
      </c>
      <c r="N47" s="34">
        <f t="shared" si="3"/>
        <v>0</v>
      </c>
      <c r="O47" s="34">
        <f t="shared" si="4"/>
        <v>0</v>
      </c>
      <c r="P47" s="34">
        <f t="shared" si="5"/>
        <v>0</v>
      </c>
      <c r="Q47" s="34">
        <f t="shared" si="6"/>
        <v>0</v>
      </c>
    </row>
    <row r="48" spans="1:17" x14ac:dyDescent="0.25">
      <c r="E48" s="24"/>
      <c r="F48" s="24"/>
      <c r="G48" s="26" t="str">
        <f t="shared" si="11"/>
        <v>InvalidSymbolDetails</v>
      </c>
      <c r="H48" s="34">
        <f t="shared" si="7"/>
        <v>0</v>
      </c>
      <c r="I48" s="34">
        <f t="shared" si="8"/>
        <v>0</v>
      </c>
      <c r="J48" s="34">
        <f t="shared" si="9"/>
        <v>0</v>
      </c>
      <c r="K48" s="34">
        <f t="shared" si="10"/>
        <v>0</v>
      </c>
      <c r="L48" s="34">
        <f t="shared" si="1"/>
        <v>0</v>
      </c>
      <c r="M48" s="34">
        <f t="shared" si="2"/>
        <v>0</v>
      </c>
      <c r="N48" s="34">
        <f t="shared" si="3"/>
        <v>0</v>
      </c>
      <c r="O48" s="34">
        <f t="shared" si="4"/>
        <v>0</v>
      </c>
      <c r="P48" s="34">
        <f t="shared" si="5"/>
        <v>0</v>
      </c>
      <c r="Q48" s="34">
        <f t="shared" si="6"/>
        <v>0</v>
      </c>
    </row>
    <row r="49" spans="5:17" x14ac:dyDescent="0.25">
      <c r="E49" s="24"/>
      <c r="F49" s="24"/>
      <c r="G49" s="26" t="str">
        <f t="shared" si="11"/>
        <v>InvalidSymbolDetails</v>
      </c>
      <c r="H49" s="34">
        <f t="shared" si="7"/>
        <v>0</v>
      </c>
      <c r="I49" s="34">
        <f t="shared" si="8"/>
        <v>0</v>
      </c>
      <c r="J49" s="34">
        <f t="shared" si="9"/>
        <v>0</v>
      </c>
      <c r="K49" s="34">
        <f t="shared" si="10"/>
        <v>0</v>
      </c>
      <c r="L49" s="34">
        <f t="shared" si="1"/>
        <v>0</v>
      </c>
      <c r="M49" s="34">
        <f t="shared" si="2"/>
        <v>0</v>
      </c>
      <c r="N49" s="34">
        <f t="shared" si="3"/>
        <v>0</v>
      </c>
      <c r="O49" s="34">
        <f t="shared" si="4"/>
        <v>0</v>
      </c>
      <c r="P49" s="34">
        <f t="shared" si="5"/>
        <v>0</v>
      </c>
      <c r="Q49" s="34">
        <f t="shared" si="6"/>
        <v>0</v>
      </c>
    </row>
  </sheetData>
  <sheetProtection algorithmName="SHA-512" hashValue="PXyes4BUMMA1MvQM30AC+xgCN1TKhd7uE4GNe3hu1w8ieRAOcL8KCPPgKJCWpFULFmdOhIdUlayhOe+aOYcfkg==" saltValue="5wBKjMMaaLZBX3Ox+2L4eQ==" spinCount="100000" sheet="1" objects="1" scenarios="1" formatCells="0" formatColumns="0" formatRows="0"/>
  <dataConsolidate/>
  <mergeCells count="10">
    <mergeCell ref="L1:Q1"/>
    <mergeCell ref="A37:B37"/>
    <mergeCell ref="E1:G1"/>
    <mergeCell ref="H1:K1"/>
    <mergeCell ref="A32:B32"/>
    <mergeCell ref="A1:B1"/>
    <mergeCell ref="A2:B2"/>
    <mergeCell ref="A17:B17"/>
    <mergeCell ref="A23:B23"/>
    <mergeCell ref="A26:B26"/>
  </mergeCells>
  <dataValidations count="9">
    <dataValidation type="list" allowBlank="1" showInputMessage="1" showErrorMessage="1" errorTitle="Error" error="Please select from dropdown" sqref="B24 B14:B15">
      <formula1>"YES,NO"</formula1>
    </dataValidation>
    <dataValidation type="whole" allowBlank="1" showInputMessage="1" showErrorMessage="1" errorTitle="Error" error="Enter value between 1 to 500000" sqref="B19 B3 B8">
      <formula1>1</formula1>
      <formula2>500000</formula2>
    </dataValidation>
    <dataValidation type="whole" allowBlank="1" showInputMessage="1" showErrorMessage="1" errorTitle="Error" error="Enter value between 1 to 500" sqref="B4 B10 B21">
      <formula1>1</formula1>
      <formula2>500</formula2>
    </dataValidation>
    <dataValidation type="time" allowBlank="1" showInputMessage="1" showErrorMessage="1" errorTitle="Error" error="Enter time between 09:15:00 to 23:55:00" sqref="B5:B7">
      <formula1>0.385416666666667</formula1>
      <formula2>0.996527777777778</formula2>
    </dataValidation>
    <dataValidation type="whole" allowBlank="1" showInputMessage="1" showErrorMessage="1" errorTitle="Error" error="Enter value between -1 to -500000" sqref="B20 B9">
      <formula1>-500000</formula1>
      <formula2>-1</formula2>
    </dataValidation>
    <dataValidation type="decimal" allowBlank="1" showInputMessage="1" showErrorMessage="1" errorTitle="Error" error="Enter value between 0 to 3000" sqref="B13">
      <formula1>0</formula1>
      <formula2>3000</formula2>
    </dataValidation>
    <dataValidation type="list" allowBlank="1" showInputMessage="1" showErrorMessage="1" errorTitle="Error" error="Please select from dropdown" sqref="B18">
      <formula1>"A1,A2,A3,A4,A5,A6,A7,A8,A9,ZZ"</formula1>
    </dataValidation>
    <dataValidation type="list" allowBlank="1" showInputMessage="1" showErrorMessage="1" errorTitle="Error" error="Please select from the dropdown" sqref="E3:E49">
      <formula1>"NSE_EQ,NSE_FO,MCX_FO"</formula1>
    </dataValidation>
    <dataValidation type="decimal" allowBlank="1" showInputMessage="1" showErrorMessage="1" errorTitle="Error" error="Enter value between 0.1 to 3000" sqref="B11:B12">
      <formula1>0.1</formula1>
      <formula2>3000</formula2>
    </dataValidation>
  </dataValidation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32"/>
  <sheetViews>
    <sheetView showGridLines="0" workbookViewId="0">
      <selection activeCell="B1" sqref="B1"/>
    </sheetView>
  </sheetViews>
  <sheetFormatPr defaultColWidth="0" defaultRowHeight="14.25" customHeight="1" zeroHeight="1" x14ac:dyDescent="0.2"/>
  <cols>
    <col min="1" max="1" width="40.7109375" style="4" customWidth="1"/>
    <col min="2" max="2" width="99.85546875" style="4" customWidth="1"/>
    <col min="3" max="3" width="40.7109375" style="6" customWidth="1"/>
    <col min="4" max="10" width="0" style="4" hidden="1" customWidth="1"/>
    <col min="11" max="16384" width="9.140625" style="4" hidden="1"/>
  </cols>
  <sheetData>
    <row r="1" spans="1:3" x14ac:dyDescent="0.2">
      <c r="A1" s="6"/>
      <c r="B1" s="18" t="s">
        <v>28</v>
      </c>
    </row>
    <row r="2" spans="1:3" ht="45" customHeight="1" x14ac:dyDescent="0.2">
      <c r="A2" s="7"/>
      <c r="B2" s="51" t="s">
        <v>29</v>
      </c>
      <c r="C2" s="8"/>
    </row>
    <row r="3" spans="1:3" ht="45" customHeight="1" x14ac:dyDescent="0.2">
      <c r="A3" s="7"/>
      <c r="B3" s="52"/>
      <c r="C3" s="8"/>
    </row>
    <row r="4" spans="1:3" ht="45" customHeight="1" x14ac:dyDescent="0.2">
      <c r="A4" s="7"/>
      <c r="B4" s="52"/>
      <c r="C4" s="8"/>
    </row>
    <row r="5" spans="1:3" ht="45" customHeight="1" x14ac:dyDescent="0.2">
      <c r="A5" s="7"/>
      <c r="B5" s="52"/>
      <c r="C5" s="8"/>
    </row>
    <row r="6" spans="1:3" ht="45" customHeight="1" x14ac:dyDescent="0.2">
      <c r="A6" s="7"/>
      <c r="B6" s="52"/>
      <c r="C6" s="8"/>
    </row>
    <row r="7" spans="1:3" ht="45" customHeight="1" x14ac:dyDescent="0.2">
      <c r="A7" s="7"/>
      <c r="B7" s="52"/>
      <c r="C7" s="8"/>
    </row>
    <row r="8" spans="1:3" ht="45" customHeight="1" x14ac:dyDescent="0.2">
      <c r="A8" s="7"/>
      <c r="B8" s="52"/>
      <c r="C8" s="8"/>
    </row>
    <row r="9" spans="1:3" ht="45" customHeight="1" x14ac:dyDescent="0.2">
      <c r="A9" s="7"/>
      <c r="B9" s="52"/>
      <c r="C9" s="8"/>
    </row>
    <row r="10" spans="1:3" ht="45" customHeight="1" x14ac:dyDescent="0.2">
      <c r="A10" s="7"/>
      <c r="B10" s="52"/>
      <c r="C10" s="8"/>
    </row>
    <row r="11" spans="1:3" ht="45" customHeight="1" x14ac:dyDescent="0.2">
      <c r="A11" s="7"/>
      <c r="B11" s="52"/>
      <c r="C11" s="8"/>
    </row>
    <row r="12" spans="1:3" ht="45" customHeight="1" x14ac:dyDescent="0.2">
      <c r="A12" s="7"/>
      <c r="B12" s="52"/>
      <c r="C12" s="8"/>
    </row>
    <row r="13" spans="1:3" ht="45" customHeight="1" x14ac:dyDescent="0.2">
      <c r="A13" s="7"/>
      <c r="B13" s="52"/>
      <c r="C13" s="8"/>
    </row>
    <row r="14" spans="1:3" ht="45" customHeight="1" x14ac:dyDescent="0.2">
      <c r="A14" s="7"/>
      <c r="B14" s="52"/>
      <c r="C14" s="8"/>
    </row>
    <row r="15" spans="1:3" ht="45" customHeight="1" x14ac:dyDescent="0.2">
      <c r="A15" s="7"/>
      <c r="B15" s="52"/>
      <c r="C15" s="8"/>
    </row>
    <row r="16" spans="1:3" ht="45" customHeight="1" x14ac:dyDescent="0.2">
      <c r="A16" s="7"/>
      <c r="B16" s="52"/>
      <c r="C16" s="8"/>
    </row>
    <row r="17" spans="1:3" ht="45" customHeight="1" x14ac:dyDescent="0.2">
      <c r="A17" s="7"/>
      <c r="B17" s="52"/>
      <c r="C17" s="8"/>
    </row>
    <row r="18" spans="1:3" ht="45" customHeight="1" x14ac:dyDescent="0.2">
      <c r="A18" s="7"/>
      <c r="B18" s="52"/>
      <c r="C18" s="8"/>
    </row>
    <row r="19" spans="1:3" ht="45" customHeight="1" x14ac:dyDescent="0.2">
      <c r="A19" s="7"/>
      <c r="B19" s="52"/>
      <c r="C19" s="8"/>
    </row>
    <row r="20" spans="1:3" ht="45" customHeight="1" x14ac:dyDescent="0.2">
      <c r="A20" s="7"/>
      <c r="B20" s="52"/>
      <c r="C20" s="8"/>
    </row>
    <row r="21" spans="1:3" ht="45" customHeight="1" x14ac:dyDescent="0.2">
      <c r="A21" s="7"/>
      <c r="B21" s="52"/>
      <c r="C21" s="8"/>
    </row>
    <row r="22" spans="1:3" ht="45" customHeight="1" x14ac:dyDescent="0.2">
      <c r="A22" s="7"/>
      <c r="B22" s="52"/>
      <c r="C22" s="8"/>
    </row>
    <row r="23" spans="1:3" ht="45" customHeight="1" x14ac:dyDescent="0.2">
      <c r="A23" s="7"/>
      <c r="B23" s="52"/>
      <c r="C23" s="8"/>
    </row>
    <row r="24" spans="1:3" ht="45" customHeight="1" x14ac:dyDescent="0.2">
      <c r="A24" s="7"/>
      <c r="B24" s="52"/>
      <c r="C24" s="8"/>
    </row>
    <row r="25" spans="1:3" ht="45" customHeight="1" x14ac:dyDescent="0.2">
      <c r="A25" s="7"/>
      <c r="B25" s="52"/>
      <c r="C25" s="8"/>
    </row>
    <row r="26" spans="1:3" ht="45" customHeight="1" x14ac:dyDescent="0.2">
      <c r="A26" s="7"/>
      <c r="B26" s="52"/>
      <c r="C26" s="8"/>
    </row>
    <row r="27" spans="1:3" ht="45" customHeight="1" x14ac:dyDescent="0.2">
      <c r="A27" s="7"/>
      <c r="B27" s="52"/>
      <c r="C27" s="8"/>
    </row>
    <row r="28" spans="1:3" ht="45" customHeight="1" x14ac:dyDescent="0.2">
      <c r="A28" s="7"/>
      <c r="B28" s="52"/>
      <c r="C28" s="8"/>
    </row>
    <row r="29" spans="1:3" ht="45" customHeight="1" x14ac:dyDescent="0.2">
      <c r="A29" s="7"/>
      <c r="B29" s="52"/>
      <c r="C29" s="8"/>
    </row>
    <row r="30" spans="1:3" ht="45" customHeight="1" x14ac:dyDescent="0.2">
      <c r="A30" s="7"/>
      <c r="B30" s="53"/>
      <c r="C30" s="8"/>
    </row>
    <row r="31" spans="1:3" x14ac:dyDescent="0.2">
      <c r="A31" s="6"/>
      <c r="B31" s="6"/>
    </row>
    <row r="32" spans="1:3" ht="15" hidden="1" customHeight="1" x14ac:dyDescent="0.2">
      <c r="B32" s="5" t="s">
        <v>3</v>
      </c>
    </row>
  </sheetData>
  <sheetProtection password="CC3D" sheet="1" objects="1" scenarios="1"/>
  <mergeCells count="1">
    <mergeCell ref="B2:B30"/>
  </mergeCells>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Dashboard</vt:lpstr>
      <vt:lpstr>Market_Watch</vt:lpstr>
      <vt:lpstr>Excel_Template</vt:lpstr>
      <vt:lpstr>Terms</vt:lpstr>
      <vt:lpstr>Excel_Template!Excel_Open_Date</vt:lpstr>
      <vt:lpstr>Excel_Template!Excel_Open_Time</vt:lpstr>
      <vt:lpstr>Excel_Template!IsLive</vt:lpstr>
      <vt:lpstr>Excel_Template!IsSqOffTime</vt:lpstr>
      <vt:lpstr>Excel_Template!IsTrdBeginTime</vt:lpstr>
      <vt:lpstr>Excel_Template!IsTrdEndTime</vt:lpstr>
      <vt:lpstr>Excel_Template!IsTrdTime</vt:lpstr>
      <vt:lpstr>Excel_Template!MaxEntry</vt:lpstr>
      <vt:lpstr>Excel_Template!MaxLoss</vt:lpstr>
      <vt:lpstr>Excel_Template!MaxLossAll</vt:lpstr>
      <vt:lpstr>Excel_Template!MaxPositions</vt:lpstr>
      <vt:lpstr>Excel_Template!MaxProfit</vt:lpstr>
      <vt:lpstr>Excel_Template!MaxProfitAll</vt:lpstr>
      <vt:lpstr>Excel_Template!MTMAll</vt:lpstr>
      <vt:lpstr>Excel_Template!NoofLots</vt:lpstr>
      <vt:lpstr>Excel_Template!StgyCode</vt:lpstr>
      <vt:lpstr>Excel_Template!StoplossPct</vt:lpstr>
      <vt:lpstr>Excel_Template!StopOnSlHit</vt:lpstr>
      <vt:lpstr>Excel_Template!StopOnTgtHit</vt:lpstr>
      <vt:lpstr>Excel_Template!System_Time</vt:lpstr>
      <vt:lpstr>Excel_Template!TargetPct</vt:lpstr>
      <vt:lpstr>Excel_Template!TradeValue</vt:lpstr>
      <vt:lpstr>Excel_Template!TrailPct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Tech-PC</dc:creator>
  <cp:lastModifiedBy>Siva</cp:lastModifiedBy>
  <dcterms:created xsi:type="dcterms:W3CDTF">2006-09-16T00:00:00Z</dcterms:created>
  <dcterms:modified xsi:type="dcterms:W3CDTF">2018-07-21T11:52:49Z</dcterms:modified>
</cp:coreProperties>
</file>